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charts/chart4.xml" ContentType="application/vnd.openxmlformats-officedocument.drawingml.chart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1475" windowHeight="4935"/>
  </bookViews>
  <sheets>
    <sheet name="3D View" sheetId="5" r:id="rId1"/>
    <sheet name="DATA" sheetId="3" r:id="rId2"/>
    <sheet name="Sheet1" sheetId="6" r:id="rId3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firstLabel">#REF!</definedName>
    <definedName name="firstZ">#REF!</definedName>
    <definedName name="Inputparams">DATA!$R$32:$W$32</definedName>
    <definedName name="NrPoints">#REF!</definedName>
    <definedName name="_xlnm.Print_Area" localSheetId="1">DATA!$A$1:$W$55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25725"/>
</workbook>
</file>

<file path=xl/calcChain.xml><?xml version="1.0" encoding="utf-8"?>
<calcChain xmlns="http://schemas.openxmlformats.org/spreadsheetml/2006/main">
  <c r="BB13" i="5"/>
  <c r="BB82" s="1"/>
  <c r="BB12"/>
  <c r="BB81" s="1"/>
  <c r="BB11"/>
  <c r="BB10"/>
  <c r="BB79" s="1"/>
  <c r="BB9"/>
  <c r="BB78" s="1"/>
  <c r="BB8"/>
  <c r="BB77" s="1"/>
  <c r="BB83" s="1"/>
  <c r="T10" i="3"/>
  <c r="L13" i="5"/>
  <c r="K13"/>
  <c r="J13"/>
  <c r="BI2"/>
  <c r="BJ2"/>
  <c r="BK2"/>
  <c r="BI3"/>
  <c r="BJ3"/>
  <c r="BK3"/>
  <c r="AZ101"/>
  <c r="BA101"/>
  <c r="BB101"/>
  <c r="BB96"/>
  <c r="AZ90"/>
  <c r="BA93"/>
  <c r="BA109"/>
  <c r="BA108"/>
  <c r="BA104"/>
  <c r="BA103"/>
  <c r="BB110"/>
  <c r="BB109"/>
  <c r="BB108"/>
  <c r="BB107"/>
  <c r="BB106"/>
  <c r="BB112"/>
  <c r="BA113"/>
  <c r="BA112"/>
  <c r="BA115"/>
  <c r="BB116"/>
  <c r="BA116"/>
  <c r="BB118"/>
  <c r="AZ119"/>
  <c r="AZ118"/>
  <c r="AZ116"/>
  <c r="AZ115"/>
  <c r="AZ108"/>
  <c r="AZ107"/>
  <c r="AZ103"/>
  <c r="AZ102"/>
  <c r="AZ113"/>
  <c r="AZ112"/>
  <c r="AZ110"/>
  <c r="AZ109"/>
  <c r="AZ106"/>
  <c r="AZ105"/>
  <c r="AZ104"/>
  <c r="BB113"/>
  <c r="BB115"/>
  <c r="BB119"/>
  <c r="BA119"/>
  <c r="BA118"/>
  <c r="BA110"/>
  <c r="BA107"/>
  <c r="BA106"/>
  <c r="BA105"/>
  <c r="BB105"/>
  <c r="BB104"/>
  <c r="BB103"/>
  <c r="BB102"/>
  <c r="BA102"/>
  <c r="BB95"/>
  <c r="BA92"/>
  <c r="AZ89"/>
  <c r="BB46" l="1"/>
  <c r="BB80"/>
  <c r="BB23"/>
  <c r="BB25"/>
  <c r="BB48"/>
  <c r="BB21"/>
  <c r="BB44"/>
  <c r="BB17"/>
  <c r="BB40"/>
  <c r="BB19"/>
  <c r="BB42"/>
  <c r="BB27"/>
  <c r="BB50"/>
  <c r="BK7"/>
  <c r="BJ6"/>
  <c r="BI8"/>
  <c r="BI7"/>
  <c r="BK8"/>
  <c r="BJ8"/>
  <c r="BK6"/>
  <c r="BJ7"/>
  <c r="BI6"/>
  <c r="W10" i="3"/>
  <c r="V10"/>
  <c r="U10"/>
  <c r="I13" i="5"/>
  <c r="S10" i="3"/>
  <c r="H13" i="5" s="1"/>
  <c r="R10" i="3"/>
  <c r="G13" i="5" s="1"/>
  <c r="C35" i="3"/>
  <c r="C34"/>
  <c r="C33"/>
  <c r="C41"/>
  <c r="C40"/>
  <c r="C39"/>
  <c r="C38"/>
  <c r="C37"/>
  <c r="C36"/>
  <c r="C32"/>
  <c r="C31"/>
  <c r="C30"/>
  <c r="D41"/>
  <c r="E41" s="1"/>
  <c r="H41" s="1"/>
  <c r="D40"/>
  <c r="E40" s="1"/>
  <c r="H40" s="1"/>
  <c r="D39"/>
  <c r="E39" s="1"/>
  <c r="H39" s="1"/>
  <c r="D38"/>
  <c r="E38" s="1"/>
  <c r="H38" s="1"/>
  <c r="D37"/>
  <c r="E37" s="1"/>
  <c r="H37" s="1"/>
  <c r="D36"/>
  <c r="E36" s="1"/>
  <c r="H36" s="1"/>
  <c r="D35"/>
  <c r="E35" s="1"/>
  <c r="H35" s="1"/>
  <c r="D34"/>
  <c r="E34" s="1"/>
  <c r="H34" s="1"/>
  <c r="D33"/>
  <c r="E33" s="1"/>
  <c r="H33" s="1"/>
  <c r="D32"/>
  <c r="E32" s="1"/>
  <c r="H32" s="1"/>
  <c r="D31"/>
  <c r="E31" s="1"/>
  <c r="H31" s="1"/>
  <c r="D30"/>
  <c r="D19"/>
  <c r="E19" s="1"/>
  <c r="H19" s="1"/>
  <c r="D18"/>
  <c r="E18" s="1"/>
  <c r="D17"/>
  <c r="E17" s="1"/>
  <c r="H17" s="1"/>
  <c r="D16"/>
  <c r="E16" s="1"/>
  <c r="H16" s="1"/>
  <c r="D15"/>
  <c r="E15" s="1"/>
  <c r="H15" s="1"/>
  <c r="D14"/>
  <c r="E14" s="1"/>
  <c r="H14" s="1"/>
  <c r="C19"/>
  <c r="C18"/>
  <c r="C17"/>
  <c r="C16"/>
  <c r="C15"/>
  <c r="C14"/>
  <c r="C13"/>
  <c r="C12"/>
  <c r="C11"/>
  <c r="C10"/>
  <c r="C9"/>
  <c r="C8"/>
  <c r="D11"/>
  <c r="E11" s="1"/>
  <c r="H11" s="1"/>
  <c r="D10"/>
  <c r="E10" s="1"/>
  <c r="D13"/>
  <c r="E13" s="1"/>
  <c r="H13" s="1"/>
  <c r="D12"/>
  <c r="E12" s="1"/>
  <c r="H12" s="1"/>
  <c r="D9"/>
  <c r="E9" s="1"/>
  <c r="H9" s="1"/>
  <c r="D8"/>
  <c r="E8" s="1"/>
  <c r="H8" s="1"/>
  <c r="E30" l="1"/>
  <c r="G30" s="1"/>
  <c r="BE92" i="5"/>
  <c r="BE93"/>
  <c r="BE94"/>
  <c r="BE90"/>
  <c r="BE89"/>
  <c r="BE91"/>
  <c r="BF89"/>
  <c r="G10" i="3"/>
  <c r="G19"/>
  <c r="BF101" i="5"/>
  <c r="BE101"/>
  <c r="BF109"/>
  <c r="BF113"/>
  <c r="BF112"/>
  <c r="BF104"/>
  <c r="BF92"/>
  <c r="BE119"/>
  <c r="BE116"/>
  <c r="BE113"/>
  <c r="BE110"/>
  <c r="BE108"/>
  <c r="BE106"/>
  <c r="BE104"/>
  <c r="BE102"/>
  <c r="BE96"/>
  <c r="BE118"/>
  <c r="BE115"/>
  <c r="BE112"/>
  <c r="BE109"/>
  <c r="BE107"/>
  <c r="BE105"/>
  <c r="BE103"/>
  <c r="BE95"/>
  <c r="BF90"/>
  <c r="BF102"/>
  <c r="BF110"/>
  <c r="BF95"/>
  <c r="BF107"/>
  <c r="BF118"/>
  <c r="BF96"/>
  <c r="BF108"/>
  <c r="BF119"/>
  <c r="BF93"/>
  <c r="BF105"/>
  <c r="BF115"/>
  <c r="BF94"/>
  <c r="BF106"/>
  <c r="BF116"/>
  <c r="BF91"/>
  <c r="BF103"/>
  <c r="G32" i="3"/>
  <c r="G36"/>
  <c r="L3" s="1"/>
  <c r="BA8" i="5" s="1"/>
  <c r="BA77" s="1"/>
  <c r="BA83" s="1"/>
  <c r="G37" i="3"/>
  <c r="L4" s="1"/>
  <c r="BA9" i="5" s="1"/>
  <c r="BA78" s="1"/>
  <c r="G35" i="3"/>
  <c r="G39"/>
  <c r="L6" s="1"/>
  <c r="BA11" i="5" s="1"/>
  <c r="BA80" s="1"/>
  <c r="G41" i="3"/>
  <c r="L8" s="1"/>
  <c r="BA13" i="5" s="1"/>
  <c r="BA82" s="1"/>
  <c r="G31" i="3"/>
  <c r="G33"/>
  <c r="G40"/>
  <c r="L7" s="1"/>
  <c r="BA12" i="5" s="1"/>
  <c r="BA81" s="1"/>
  <c r="G38" i="3"/>
  <c r="L5" s="1"/>
  <c r="BA10" i="5" s="1"/>
  <c r="BA79" s="1"/>
  <c r="G34" i="3"/>
  <c r="G18"/>
  <c r="H10"/>
  <c r="G15"/>
  <c r="G14"/>
  <c r="H18"/>
  <c r="G13"/>
  <c r="G8"/>
  <c r="G11"/>
  <c r="G17"/>
  <c r="G9"/>
  <c r="G16"/>
  <c r="G12"/>
  <c r="K7" l="1"/>
  <c r="AZ12" i="5" s="1"/>
  <c r="AZ81" s="1"/>
  <c r="BF81" s="1"/>
  <c r="K6" i="3"/>
  <c r="AZ11" i="5" s="1"/>
  <c r="AZ80" s="1"/>
  <c r="BF80" s="1"/>
  <c r="K8" i="3"/>
  <c r="AZ13" i="5" s="1"/>
  <c r="AZ82" s="1"/>
  <c r="BF82" s="1"/>
  <c r="K5" i="3"/>
  <c r="AZ10" i="5" s="1"/>
  <c r="AZ79" s="1"/>
  <c r="BF79" s="1"/>
  <c r="L13" i="3"/>
  <c r="BA3" i="5" s="1"/>
  <c r="L14" i="3"/>
  <c r="BA4" i="5" s="1"/>
  <c r="H30" i="3"/>
  <c r="K17"/>
  <c r="K13"/>
  <c r="M17"/>
  <c r="BB7" i="5" s="1"/>
  <c r="M16" i="3"/>
  <c r="BB6" i="5" s="1"/>
  <c r="L15" i="3"/>
  <c r="BA5" i="5" s="1"/>
  <c r="L12" i="3"/>
  <c r="M15"/>
  <c r="BB5" i="5" s="1"/>
  <c r="K16" i="3"/>
  <c r="K14"/>
  <c r="K15"/>
  <c r="BA17" i="5"/>
  <c r="BA40"/>
  <c r="BA21"/>
  <c r="BA44"/>
  <c r="BA27"/>
  <c r="BA50"/>
  <c r="BA19"/>
  <c r="BA42"/>
  <c r="BA25"/>
  <c r="BA48"/>
  <c r="BA23"/>
  <c r="BA46"/>
  <c r="K3" i="3"/>
  <c r="AZ8" i="5" s="1"/>
  <c r="AZ77" s="1"/>
  <c r="K4" i="3"/>
  <c r="AZ9" i="5" s="1"/>
  <c r="AZ78" s="1"/>
  <c r="K12" i="3"/>
  <c r="M13"/>
  <c r="L17"/>
  <c r="BA7" i="5" s="1"/>
  <c r="M12" i="3"/>
  <c r="M22" s="1"/>
  <c r="L16"/>
  <c r="BA6" i="5" s="1"/>
  <c r="M14" i="3"/>
  <c r="M51" l="1"/>
  <c r="M52"/>
  <c r="M50"/>
  <c r="M53"/>
  <c r="M54"/>
  <c r="M55"/>
  <c r="BE80" i="5"/>
  <c r="AZ46"/>
  <c r="BF46" s="1"/>
  <c r="AZ23"/>
  <c r="BF23" s="1"/>
  <c r="AZ21"/>
  <c r="BE21" s="1"/>
  <c r="AZ44"/>
  <c r="BF44" s="1"/>
  <c r="BE79"/>
  <c r="AZ27"/>
  <c r="BF27" s="1"/>
  <c r="AZ25"/>
  <c r="BE25" s="1"/>
  <c r="BE81"/>
  <c r="AZ50"/>
  <c r="BF50" s="1"/>
  <c r="AZ48"/>
  <c r="BF48" s="1"/>
  <c r="BE82"/>
  <c r="AZ3"/>
  <c r="AZ70" s="1"/>
  <c r="K26" i="3"/>
  <c r="K24"/>
  <c r="K27"/>
  <c r="K25"/>
  <c r="AZ2" i="5"/>
  <c r="K18" i="3"/>
  <c r="BA2" i="5"/>
  <c r="BA69" s="1"/>
  <c r="BA75" s="1"/>
  <c r="L18" i="3"/>
  <c r="AZ83" i="5"/>
  <c r="BE77"/>
  <c r="BF77"/>
  <c r="BE78"/>
  <c r="BF78"/>
  <c r="BA26"/>
  <c r="BA64" s="1"/>
  <c r="BA74"/>
  <c r="BA20"/>
  <c r="BA58" s="1"/>
  <c r="BA71"/>
  <c r="BA24"/>
  <c r="BA62" s="1"/>
  <c r="BA73"/>
  <c r="BA18"/>
  <c r="BA56" s="1"/>
  <c r="BA70"/>
  <c r="BA22"/>
  <c r="BA60" s="1"/>
  <c r="BA72"/>
  <c r="BB22"/>
  <c r="BB60" s="1"/>
  <c r="BB72"/>
  <c r="BB24"/>
  <c r="BB62" s="1"/>
  <c r="BB73"/>
  <c r="BB26"/>
  <c r="BB64" s="1"/>
  <c r="BB74"/>
  <c r="AZ4"/>
  <c r="K23" i="3"/>
  <c r="K22"/>
  <c r="BB4" i="5"/>
  <c r="M24" i="3"/>
  <c r="BB3" i="5"/>
  <c r="M23" i="3"/>
  <c r="AZ17" i="5"/>
  <c r="BF17" s="1"/>
  <c r="AZ40"/>
  <c r="AZ19"/>
  <c r="BF19" s="1"/>
  <c r="AZ42"/>
  <c r="BB2"/>
  <c r="L50" i="3"/>
  <c r="AZ5" i="5"/>
  <c r="AZ7"/>
  <c r="AZ6"/>
  <c r="BE8"/>
  <c r="BF13"/>
  <c r="BE9"/>
  <c r="BE11"/>
  <c r="BE12"/>
  <c r="BF25" l="1"/>
  <c r="BE27"/>
  <c r="BE44"/>
  <c r="BF21"/>
  <c r="BE23"/>
  <c r="BE46"/>
  <c r="BE48"/>
  <c r="BE50"/>
  <c r="AZ18"/>
  <c r="AZ56" s="1"/>
  <c r="BA16"/>
  <c r="BA54" s="1"/>
  <c r="BE19"/>
  <c r="BE83"/>
  <c r="BF83"/>
  <c r="AZ26"/>
  <c r="AZ64" s="1"/>
  <c r="AZ74"/>
  <c r="BE74" s="1"/>
  <c r="AZ20"/>
  <c r="AZ58" s="1"/>
  <c r="AZ71"/>
  <c r="AZ16"/>
  <c r="AZ54" s="1"/>
  <c r="AZ69"/>
  <c r="AZ75" s="1"/>
  <c r="AZ24"/>
  <c r="BF24" s="1"/>
  <c r="AZ73"/>
  <c r="BE73" s="1"/>
  <c r="AZ22"/>
  <c r="BF22" s="1"/>
  <c r="AZ72"/>
  <c r="BF72" s="1"/>
  <c r="BB16"/>
  <c r="BB54" s="1"/>
  <c r="BB69"/>
  <c r="BB18"/>
  <c r="BB56" s="1"/>
  <c r="BB70"/>
  <c r="BB20"/>
  <c r="BB58" s="1"/>
  <c r="BB71"/>
  <c r="BF40"/>
  <c r="BE40"/>
  <c r="BF42"/>
  <c r="BE42"/>
  <c r="BE17"/>
  <c r="BF9"/>
  <c r="BF11"/>
  <c r="BF8"/>
  <c r="BE13"/>
  <c r="BE10"/>
  <c r="BF10"/>
  <c r="BF12"/>
  <c r="L25" i="3"/>
  <c r="L53"/>
  <c r="M27"/>
  <c r="L23"/>
  <c r="K32" s="1"/>
  <c r="L24"/>
  <c r="K33" s="1"/>
  <c r="M25"/>
  <c r="L27"/>
  <c r="L52"/>
  <c r="BE56" i="5" l="1"/>
  <c r="BF74"/>
  <c r="AZ62"/>
  <c r="BE62" s="1"/>
  <c r="BE24"/>
  <c r="BE26"/>
  <c r="BE58"/>
  <c r="BF73"/>
  <c r="BF26"/>
  <c r="BE22"/>
  <c r="BE72"/>
  <c r="BE54"/>
  <c r="AZ60"/>
  <c r="BE60" s="1"/>
  <c r="BF58"/>
  <c r="BF54"/>
  <c r="BE20"/>
  <c r="BF20"/>
  <c r="BF70"/>
  <c r="BE70"/>
  <c r="BB75"/>
  <c r="BE69"/>
  <c r="BF69"/>
  <c r="BF71"/>
  <c r="BE71"/>
  <c r="BF16"/>
  <c r="BE16"/>
  <c r="BE18"/>
  <c r="BF18"/>
  <c r="BF56"/>
  <c r="K34" i="3"/>
  <c r="K53" s="1"/>
  <c r="N53" s="1"/>
  <c r="K36"/>
  <c r="K55" s="1"/>
  <c r="L29"/>
  <c r="BF64" i="5"/>
  <c r="BE64"/>
  <c r="K52" i="3"/>
  <c r="N52" s="1"/>
  <c r="K51"/>
  <c r="BF2" i="5"/>
  <c r="BE2"/>
  <c r="BF4"/>
  <c r="BE4"/>
  <c r="BE7"/>
  <c r="BE3"/>
  <c r="L55" i="3"/>
  <c r="L51"/>
  <c r="L54"/>
  <c r="L26"/>
  <c r="L22"/>
  <c r="K31" s="1"/>
  <c r="M26"/>
  <c r="L42" l="1"/>
  <c r="M42"/>
  <c r="K42"/>
  <c r="K41"/>
  <c r="L41"/>
  <c r="M41"/>
  <c r="BF62" i="5"/>
  <c r="BF60"/>
  <c r="BF75"/>
  <c r="BE75"/>
  <c r="K35" i="3"/>
  <c r="K54" s="1"/>
  <c r="N54" s="1"/>
  <c r="K50"/>
  <c r="O52"/>
  <c r="N6" i="5" s="1"/>
  <c r="O53" i="3"/>
  <c r="N7" i="5" s="1"/>
  <c r="BF3"/>
  <c r="N51" i="3"/>
  <c r="N55"/>
  <c r="BE5" i="5"/>
  <c r="BF5"/>
  <c r="BE6"/>
  <c r="BF6"/>
  <c r="BF7"/>
  <c r="K40" i="3" l="1"/>
  <c r="L40"/>
  <c r="M40"/>
  <c r="K44"/>
  <c r="L44"/>
  <c r="M44"/>
  <c r="L43"/>
  <c r="M43"/>
  <c r="K43"/>
  <c r="AZ35" i="5"/>
  <c r="AZ47" s="1"/>
  <c r="AZ61" s="1"/>
  <c r="BA35"/>
  <c r="BA47" s="1"/>
  <c r="BA61" s="1"/>
  <c r="AZ34"/>
  <c r="AZ45" s="1"/>
  <c r="AZ59" s="1"/>
  <c r="BA34"/>
  <c r="BA45" s="1"/>
  <c r="BA59" s="1"/>
  <c r="BB34"/>
  <c r="BB45" s="1"/>
  <c r="BB59" s="1"/>
  <c r="BB35"/>
  <c r="BB47" s="1"/>
  <c r="BB61" s="1"/>
  <c r="O54" i="3"/>
  <c r="N8" i="5" s="1"/>
  <c r="O51" i="3"/>
  <c r="N5" i="5" s="1"/>
  <c r="O55" i="3"/>
  <c r="N9" i="5" s="1"/>
  <c r="AZ37" l="1"/>
  <c r="AZ51" s="1"/>
  <c r="AZ65" s="1"/>
  <c r="BA37"/>
  <c r="BA51" s="1"/>
  <c r="BA65" s="1"/>
  <c r="AZ36"/>
  <c r="AZ49" s="1"/>
  <c r="AZ63" s="1"/>
  <c r="BA36"/>
  <c r="BA49" s="1"/>
  <c r="BA63" s="1"/>
  <c r="AZ33"/>
  <c r="AZ43" s="1"/>
  <c r="AZ57" s="1"/>
  <c r="BA33"/>
  <c r="BA43" s="1"/>
  <c r="BA57" s="1"/>
  <c r="N50" i="3"/>
  <c r="BE61" i="5"/>
  <c r="BF61"/>
  <c r="BF59"/>
  <c r="BE59"/>
  <c r="BE45"/>
  <c r="BF47"/>
  <c r="BE47"/>
  <c r="BF45"/>
  <c r="BB33"/>
  <c r="BB43" s="1"/>
  <c r="BB57" s="1"/>
  <c r="BB37"/>
  <c r="BB51" s="1"/>
  <c r="BB65" s="1"/>
  <c r="BB36"/>
  <c r="BB49" s="1"/>
  <c r="BB63" s="1"/>
  <c r="L39" i="3" l="1"/>
  <c r="M39"/>
  <c r="K39"/>
  <c r="O50"/>
  <c r="N4" i="5" s="1"/>
  <c r="BE63"/>
  <c r="BE65"/>
  <c r="BF57"/>
  <c r="BF65"/>
  <c r="BE57"/>
  <c r="BF63"/>
  <c r="BF51"/>
  <c r="BE51"/>
  <c r="BE49"/>
  <c r="BE43"/>
  <c r="BF43"/>
  <c r="BF49"/>
  <c r="AZ32" l="1"/>
  <c r="AZ41" s="1"/>
  <c r="AZ55" s="1"/>
  <c r="BA32"/>
  <c r="BA41" s="1"/>
  <c r="BA55" s="1"/>
  <c r="BB32"/>
  <c r="BB41" s="1"/>
  <c r="BB55" s="1"/>
  <c r="BE55" l="1"/>
  <c r="BE41"/>
  <c r="BF55"/>
  <c r="BF41"/>
</calcChain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<sst xmlns="http://schemas.openxmlformats.org/spreadsheetml/2006/main" count="165" uniqueCount="127">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</sst>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>
  <numFmts count="1">
    <numFmt numFmtId="176" formatCode="_ * #,##0.00_ ;_ * \-#,##0.00_ ;_ * &quot;-&quot;??_ ;_ @_ "/>
  </numFmts>
  <fonts count="10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76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176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76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76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76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76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76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76" fontId="0" fillId="0" borderId="0" xfId="1" applyFont="1" applyFill="1" applyBorder="1"/>
    <xf numFmtId="176" fontId="0" fillId="0" borderId="19" xfId="1" applyFont="1" applyFill="1" applyBorder="1"/>
    <xf numFmtId="176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</cellXfs>
  <cellStyles count="5">
    <cellStyle name="Comma" xfId="1" builtinId="3"/>
    <cellStyle name="Hyperlink" xfId="4" builtinId="8"/>
    <cellStyle name="Normal" xfId="0" builtinId="0"/>
    <cellStyle name="Normal 2" xfId="2"/>
    <cellStyle name="Normal 3" xfId="3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dLblPos val="b"/>
              <c:showSerName val="1"/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dLblPos val="l"/>
              <c:showSerName val="1"/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SerName val="1"/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Val val="1"/>
            </c:dLbl>
            <c:numFmt formatCode="General" sourceLinked="0"/>
            <c:showSerName val="1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16.527431864029143</c:v>
                </c:pt>
                <c:pt idx="1">
                  <c:v>28.596199785848516</c:v>
                </c:pt>
                <c:pt idx="2">
                  <c:v>6.7058947100076116</c:v>
                </c:pt>
                <c:pt idx="3">
                  <c:v>-13.375280966160972</c:v>
                </c:pt>
                <c:pt idx="4">
                  <c:v>-46.347768113328961</c:v>
                </c:pt>
                <c:pt idx="5">
                  <c:v>-38.335360358979742</c:v>
                </c:pt>
                <c:pt idx="6">
                  <c:v>44.99513267805775</c:v>
                </c:pt>
                <c:pt idx="7">
                  <c:v>60.621778264910709</c:v>
                </c:pt>
                <c:pt idx="8">
                  <c:v>23.941410032796817</c:v>
                </c:pt>
                <c:pt idx="9">
                  <c:v>-5.3290705182007514E-15</c:v>
                </c:pt>
                <c:pt idx="10">
                  <c:v>-68.936542710854567</c:v>
                </c:pt>
                <c:pt idx="11">
                  <c:v>-60.621778264910695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126.58738918340154</c:v>
                </c:pt>
                <c:pt idx="1">
                  <c:v>125.27568453976627</c:v>
                </c:pt>
                <c:pt idx="2">
                  <c:v>108.34815695490846</c:v>
                </c:pt>
                <c:pt idx="3">
                  <c:v>103.46395647922394</c:v>
                </c:pt>
                <c:pt idx="4">
                  <c:v>107.0476002101595</c:v>
                </c:pt>
                <c:pt idx="5">
                  <c:v>113.24350532947931</c:v>
                </c:pt>
                <c:pt idx="6">
                  <c:v>26.811555509164233</c:v>
                </c:pt>
                <c:pt idx="7">
                  <c:v>17.5</c:v>
                </c:pt>
                <c:pt idx="8">
                  <c:v>-32.8892417275068</c:v>
                </c:pt>
                <c:pt idx="9">
                  <c:v>-35.000000000000014</c:v>
                </c:pt>
                <c:pt idx="10">
                  <c:v>6.0776862183425626</c:v>
                </c:pt>
                <c:pt idx="11">
                  <c:v>17.500000000000004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0"/>
                  <c:y val="4.48826833483321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Val val="1"/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Val val="1"/>
            </c:dLbl>
            <c:showVal val="1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16.527431864029143</c:v>
                </c:pt>
                <c:pt idx="1">
                  <c:v>44.99513267805775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126.58738918340154</c:v>
                </c:pt>
                <c:pt idx="1">
                  <c:v>26.811555509164233</c:v>
                </c:pt>
              </c:numCache>
            </c:numRef>
          </c:yVal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28.596199785848516</c:v>
                </c:pt>
                <c:pt idx="1">
                  <c:v>60.621778264910709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125.27568453976627</c:v>
                </c:pt>
                <c:pt idx="1">
                  <c:v>17.5</c:v>
                </c:pt>
              </c:numCache>
            </c:numRef>
          </c:yVal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6.7058947100076116</c:v>
                </c:pt>
                <c:pt idx="1">
                  <c:v>23.941410032796817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108.34815695490846</c:v>
                </c:pt>
                <c:pt idx="1">
                  <c:v>-32.8892417275068</c:v>
                </c:pt>
              </c:numCache>
            </c:numRef>
          </c:yVal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-13.375280966160972</c:v>
                </c:pt>
                <c:pt idx="1">
                  <c:v>-5.3290705182007514E-15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103.46395647922394</c:v>
                </c:pt>
                <c:pt idx="1">
                  <c:v>-35.000000000000014</c:v>
                </c:pt>
              </c:numCache>
            </c:numRef>
          </c:yVal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-46.347768113328961</c:v>
                </c:pt>
                <c:pt idx="1">
                  <c:v>-68.936542710854567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107.0476002101595</c:v>
                </c:pt>
                <c:pt idx="1">
                  <c:v>6.0776862183425626</c:v>
                </c:pt>
              </c:numCache>
            </c:numRef>
          </c:yVal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-38.335360358979742</c:v>
                </c:pt>
                <c:pt idx="1">
                  <c:v>-60.621778264910695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113.24350532947931</c:v>
                </c:pt>
                <c:pt idx="1">
                  <c:v>17.500000000000004</c:v>
                </c:pt>
              </c:numCache>
            </c:numRef>
          </c:yVal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44.99513267805775</c:v>
                </c:pt>
                <c:pt idx="1">
                  <c:v>22.06243615391136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26.811555509164233</c:v>
                </c:pt>
                <c:pt idx="1">
                  <c:v>16.912215082829764</c:v>
                </c:pt>
              </c:numCache>
            </c:numRef>
          </c:yVal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60.621778264910709</c:v>
                </c:pt>
                <c:pt idx="1">
                  <c:v>52.085362449736422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17.5</c:v>
                </c:pt>
                <c:pt idx="1">
                  <c:v>4.5308795848066143</c:v>
                </c:pt>
              </c:numCache>
            </c:numRef>
          </c:yVal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23.941410032796817</c:v>
                </c:pt>
                <c:pt idx="1">
                  <c:v>31.917482119453538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-32.8892417275068</c:v>
                </c:pt>
                <c:pt idx="1">
                  <c:v>-14.130498057296698</c:v>
                </c:pt>
              </c:numCache>
            </c:numRef>
          </c:yVal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-5.3290705182007514E-15</c:v>
                </c:pt>
                <c:pt idx="1">
                  <c:v>-15.923392203588925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-35.000000000000014</c:v>
                </c:pt>
                <c:pt idx="1">
                  <c:v>-22.596808869530165</c:v>
                </c:pt>
              </c:numCache>
            </c:numRef>
          </c:yVal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-68.936542710854567</c:v>
                </c:pt>
                <c:pt idx="1">
                  <c:v>-56.826237387368259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6.0776862183425626</c:v>
                </c:pt>
                <c:pt idx="1">
                  <c:v>-15.369958212850076</c:v>
                </c:pt>
              </c:numCache>
            </c:numRef>
          </c:yVal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-60.621778264910695</c:v>
                </c:pt>
                <c:pt idx="1">
                  <c:v>-44.822315385495372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17.500000000000004</c:v>
                </c:pt>
                <c:pt idx="1">
                  <c:v>2.2883605450721731</c:v>
                </c:pt>
              </c:numCache>
            </c:numRef>
          </c:yVal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16.527431864029143</c:v>
                </c:pt>
                <c:pt idx="1">
                  <c:v>22.06243615391136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126.58738918340154</c:v>
                </c:pt>
                <c:pt idx="1">
                  <c:v>16.912215082829764</c:v>
                </c:pt>
              </c:numCache>
            </c:numRef>
          </c:yVal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28.596199785848516</c:v>
                </c:pt>
                <c:pt idx="1">
                  <c:v>52.085362449736422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125.27568453976627</c:v>
                </c:pt>
                <c:pt idx="1">
                  <c:v>4.5308795848066143</c:v>
                </c:pt>
              </c:numCache>
            </c:numRef>
          </c:yVal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6.7058947100076116</c:v>
                </c:pt>
                <c:pt idx="1">
                  <c:v>31.917482119453538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108.34815695490846</c:v>
                </c:pt>
                <c:pt idx="1">
                  <c:v>-14.130498057296698</c:v>
                </c:pt>
              </c:numCache>
            </c:numRef>
          </c:yVal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-13.375280966160972</c:v>
                </c:pt>
                <c:pt idx="1">
                  <c:v>-15.923392203588925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103.46395647922394</c:v>
                </c:pt>
                <c:pt idx="1">
                  <c:v>-22.596808869530165</c:v>
                </c:pt>
              </c:numCache>
            </c:numRef>
          </c:yVal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-46.347768113328961</c:v>
                </c:pt>
                <c:pt idx="1">
                  <c:v>-56.826237387368259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107.0476002101595</c:v>
                </c:pt>
                <c:pt idx="1">
                  <c:v>-15.369958212850076</c:v>
                </c:pt>
              </c:numCache>
            </c:numRef>
          </c:yVal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-38.335360358979742</c:v>
                </c:pt>
                <c:pt idx="1">
                  <c:v>-44.822315385495372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113.24350532947931</c:v>
                </c:pt>
                <c:pt idx="1">
                  <c:v>2.2883605450721731</c:v>
                </c:pt>
              </c:numCache>
            </c:numRef>
          </c:yVal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16.527431864029143</c:v>
                </c:pt>
                <c:pt idx="1">
                  <c:v>28.596199785848516</c:v>
                </c:pt>
                <c:pt idx="2">
                  <c:v>6.7058947100076116</c:v>
                </c:pt>
                <c:pt idx="3">
                  <c:v>-13.375280966160972</c:v>
                </c:pt>
                <c:pt idx="4">
                  <c:v>-46.347768113328961</c:v>
                </c:pt>
                <c:pt idx="5">
                  <c:v>-38.335360358979742</c:v>
                </c:pt>
                <c:pt idx="6">
                  <c:v>16.527431864029143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126.58738918340154</c:v>
                </c:pt>
                <c:pt idx="1">
                  <c:v>125.27568453976627</c:v>
                </c:pt>
                <c:pt idx="2">
                  <c:v>108.34815695490846</c:v>
                </c:pt>
                <c:pt idx="3">
                  <c:v>103.46395647922394</c:v>
                </c:pt>
                <c:pt idx="4">
                  <c:v>107.0476002101595</c:v>
                </c:pt>
                <c:pt idx="5">
                  <c:v>113.24350532947931</c:v>
                </c:pt>
                <c:pt idx="6">
                  <c:v>126.58738918340154</c:v>
                </c:pt>
              </c:numCache>
            </c:numRef>
          </c:yVal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44.99513267805775</c:v>
                </c:pt>
                <c:pt idx="1">
                  <c:v>60.621778264910709</c:v>
                </c:pt>
                <c:pt idx="2">
                  <c:v>23.941410032796817</c:v>
                </c:pt>
                <c:pt idx="3">
                  <c:v>-5.3290705182007514E-15</c:v>
                </c:pt>
                <c:pt idx="4">
                  <c:v>-68.936542710854567</c:v>
                </c:pt>
                <c:pt idx="5">
                  <c:v>-60.621778264910695</c:v>
                </c:pt>
                <c:pt idx="6">
                  <c:v>44.99513267805775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26.811555509164233</c:v>
                </c:pt>
                <c:pt idx="1">
                  <c:v>17.5</c:v>
                </c:pt>
                <c:pt idx="2">
                  <c:v>-32.8892417275068</c:v>
                </c:pt>
                <c:pt idx="3">
                  <c:v>-35.000000000000014</c:v>
                </c:pt>
                <c:pt idx="4">
                  <c:v>6.0776862183425626</c:v>
                </c:pt>
                <c:pt idx="5">
                  <c:v>17.500000000000004</c:v>
                </c:pt>
                <c:pt idx="6">
                  <c:v>26.811555509164233</c:v>
                </c:pt>
              </c:numCache>
            </c:numRef>
          </c:yVal>
        </c:ser>
        <c:axId val="219001216"/>
        <c:axId val="219002752"/>
      </c:scatterChart>
      <c:valAx>
        <c:axId val="219001216"/>
        <c:scaling>
          <c:orientation val="minMax"/>
          <c:max val="170"/>
          <c:min val="-170"/>
        </c:scaling>
        <c:axPos val="b"/>
        <c:numFmt formatCode="General" sourceLinked="1"/>
        <c:tickLblPos val="none"/>
        <c:spPr>
          <a:noFill/>
          <a:ln>
            <a:noFill/>
          </a:ln>
        </c:spPr>
        <c:crossAx val="219002752"/>
        <c:crosses val="autoZero"/>
        <c:crossBetween val="midCat"/>
      </c:valAx>
      <c:valAx>
        <c:axId val="219002752"/>
        <c:scaling>
          <c:orientation val="minMax"/>
          <c:max val="170"/>
          <c:min val="-170"/>
        </c:scaling>
        <c:axPos val="l"/>
        <c:numFmt formatCode="General" sourceLinked="1"/>
        <c:tickLblPos val="none"/>
        <c:spPr>
          <a:ln>
            <a:noFill/>
          </a:ln>
        </c:spPr>
        <c:crossAx val="2190012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1" l="0.75000000000000244" r="0.750000000000002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layout/>
    </c:title>
    <c:plotArea>
      <c:layout>
        <c:manualLayout>
          <c:layoutTarget val="inner"/>
          <c:xMode val="edge"/>
          <c:yMode val="edge"/>
          <c:x val="0.21807072302415467"/>
          <c:y val="0.34552336921187654"/>
          <c:w val="0.32572004975958752"/>
          <c:h val="0.60968749548508339"/>
        </c:manualLayout>
      </c:layout>
      <c:barChart>
        <c:barDir val="col"/>
        <c:grouping val="clustered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dLbls>
            <c:numFmt formatCode="#,##0" sourceLinked="0"/>
            <c:showVal val="1"/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-21.336628779237007</c:v>
                </c:pt>
                <c:pt idx="1">
                  <c:v>-3.2894442101329613</c:v>
                </c:pt>
                <c:pt idx="2">
                  <c:v>21.121403857573625</c:v>
                </c:pt>
                <c:pt idx="3">
                  <c:v>7.7371882644347583</c:v>
                </c:pt>
                <c:pt idx="4">
                  <c:v>-41.095796226353379</c:v>
                </c:pt>
                <c:pt idx="5">
                  <c:v>-50.079221638857007</c:v>
                </c:pt>
              </c:numCache>
            </c:numRef>
          </c:val>
        </c:ser>
        <c:axId val="224781824"/>
        <c:axId val="234179200"/>
      </c:barChart>
      <c:catAx>
        <c:axId val="224781824"/>
        <c:scaling>
          <c:orientation val="minMax"/>
        </c:scaling>
        <c:axPos val="b"/>
        <c:majorGridlines/>
        <c:tickLblPos val="nextTo"/>
        <c:crossAx val="234179200"/>
        <c:crosses val="autoZero"/>
        <c:auto val="1"/>
        <c:lblAlgn val="ctr"/>
        <c:lblOffset val="40"/>
      </c:catAx>
      <c:valAx>
        <c:axId val="234179200"/>
        <c:scaling>
          <c:orientation val="minMax"/>
          <c:max val="65"/>
          <c:min val="-50"/>
        </c:scaling>
        <c:axPos val="l"/>
        <c:majorGridlines/>
        <c:numFmt formatCode="_ * #,##0.00_ ;_ * \-#,##0.00_ ;_ * &quot;-&quot;??_ ;_ @_ " sourceLinked="1"/>
        <c:tickLblPos val="nextTo"/>
        <c:crossAx val="224781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05"/>
          <c:h val="0.90689714029708635"/>
        </c:manualLayout>
      </c:layout>
      <c:scatterChart>
        <c:scatterStyle val="lineMarker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layout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Val val="1"/>
            </c:dLbl>
            <c:dLbl>
              <c:idx val="1"/>
              <c:layout>
                <c:manualLayout>
                  <c:x val="-1.4866433290977709E-2"/>
                  <c:y val="-7.1278802463294669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Val val="1"/>
            </c:dLbl>
            <c:dLbl>
              <c:idx val="2"/>
              <c:layout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Val val="1"/>
            </c:dLbl>
            <c:dLbl>
              <c:idx val="3"/>
              <c:layout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Val val="1"/>
            </c:dLbl>
            <c:dLbl>
              <c:idx val="4"/>
              <c:layout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Val val="1"/>
            </c:dLbl>
            <c:dLbl>
              <c:idx val="5"/>
              <c:layout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Val val="1"/>
            </c:dLbl>
            <c:showVal val="1"/>
          </c:dLbls>
          <c:xVal>
            <c:numRef>
              <c:f>DATA!$G$30:$G$35</c:f>
              <c:numCache>
                <c:formatCode>General</c:formatCode>
                <c:ptCount val="6"/>
                <c:pt idx="0">
                  <c:v>53.623111018328458</c:v>
                </c:pt>
                <c:pt idx="1">
                  <c:v>65.778483455013586</c:v>
                </c:pt>
                <c:pt idx="2">
                  <c:v>12.155372436685129</c:v>
                </c:pt>
                <c:pt idx="3">
                  <c:v>-12.155372436685129</c:v>
                </c:pt>
                <c:pt idx="4">
                  <c:v>-65.778483455013586</c:v>
                </c:pt>
                <c:pt idx="5">
                  <c:v>-53.623111018328458</c:v>
                </c:pt>
              </c:numCache>
            </c:numRef>
          </c:xVal>
          <c:yVal>
            <c:numRef>
              <c:f>DATA!$G$36:$G$41</c:f>
              <c:numCache>
                <c:formatCode>General</c:formatCode>
                <c:ptCount val="6"/>
                <c:pt idx="0">
                  <c:v>44.99513267805775</c:v>
                </c:pt>
                <c:pt idx="1">
                  <c:v>23.941410032796806</c:v>
                </c:pt>
                <c:pt idx="2">
                  <c:v>-68.936542710854567</c:v>
                </c:pt>
                <c:pt idx="3">
                  <c:v>-68.936542710854567</c:v>
                </c:pt>
                <c:pt idx="4">
                  <c:v>23.941410032796806</c:v>
                </c:pt>
                <c:pt idx="5">
                  <c:v>44.99513267805775</c:v>
                </c:pt>
              </c:numCache>
            </c:numRef>
          </c:yVal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General</c:formatCode>
                <c:ptCount val="6"/>
                <c:pt idx="0">
                  <c:v>28.284271247461902</c:v>
                </c:pt>
                <c:pt idx="1">
                  <c:v>38.637033051562732</c:v>
                </c:pt>
                <c:pt idx="2">
                  <c:v>10.35276180410083</c:v>
                </c:pt>
                <c:pt idx="3">
                  <c:v>-10.35276180410083</c:v>
                </c:pt>
                <c:pt idx="4">
                  <c:v>-38.637033051562732</c:v>
                </c:pt>
                <c:pt idx="5">
                  <c:v>-28.284271247461902</c:v>
                </c:pt>
              </c:numCache>
            </c:numRef>
          </c:xVal>
          <c:yVal>
            <c:numRef>
              <c:f>DATA!$G$14:$G$19</c:f>
              <c:numCache>
                <c:formatCode>General</c:formatCode>
                <c:ptCount val="6"/>
                <c:pt idx="0">
                  <c:v>28.284271247461898</c:v>
                </c:pt>
                <c:pt idx="1">
                  <c:v>10.35276180410083</c:v>
                </c:pt>
                <c:pt idx="2">
                  <c:v>-38.637033051562732</c:v>
                </c:pt>
                <c:pt idx="3">
                  <c:v>-38.637033051562732</c:v>
                </c:pt>
                <c:pt idx="4">
                  <c:v>10.35276180410083</c:v>
                </c:pt>
                <c:pt idx="5">
                  <c:v>28.284271247461898</c:v>
                </c:pt>
              </c:numCache>
            </c:numRef>
          </c:yVal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30.33664068541049</c:v>
                </c:pt>
                <c:pt idx="1">
                  <c:v>53.299078393999423</c:v>
                </c:pt>
                <c:pt idx="2">
                  <c:v>23.81560976817758</c:v>
                </c:pt>
                <c:pt idx="3">
                  <c:v>-24.541572764468434</c:v>
                </c:pt>
                <c:pt idx="4">
                  <c:v>-56.358338183862521</c:v>
                </c:pt>
                <c:pt idx="5">
                  <c:v>-37.579915957069161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44.99513267805775</c:v>
                </c:pt>
                <c:pt idx="1">
                  <c:v>2.3264464188880858</c:v>
                </c:pt>
                <c:pt idx="2">
                  <c:v>-48.740419224398302</c:v>
                </c:pt>
                <c:pt idx="3">
                  <c:v>-47.483014430407593</c:v>
                </c:pt>
                <c:pt idx="4">
                  <c:v>7.6252398084834674</c:v>
                </c:pt>
                <c:pt idx="5">
                  <c:v>44.99513267805775</c:v>
                </c:pt>
              </c:numCache>
            </c:numRef>
          </c:yVal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21.349252445976756</c:v>
                </c:pt>
                <c:pt idx="1">
                  <c:v>30.597141590110823</c:v>
                </c:pt>
                <c:pt idx="2">
                  <c:v>0.1537053690482395</c:v>
                </c:pt>
                <c:pt idx="3">
                  <c:v>-20.237254810486061</c:v>
                </c:pt>
                <c:pt idx="4">
                  <c:v>-45.502957815024999</c:v>
                </c:pt>
                <c:pt idx="5">
                  <c:v>-34.359886779624759</c:v>
                </c:pt>
                <c:pt idx="6">
                  <c:v>21.349252445976756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25.899940478558289</c:v>
                </c:pt>
                <c:pt idx="1">
                  <c:v>8.8460615754416629</c:v>
                </c:pt>
                <c:pt idx="2">
                  <c:v>-37.746002053999959</c:v>
                </c:pt>
                <c:pt idx="3">
                  <c:v>-37.746002053999959</c:v>
                </c:pt>
                <c:pt idx="4">
                  <c:v>8.8460615754416629</c:v>
                </c:pt>
                <c:pt idx="5">
                  <c:v>25.899940478558289</c:v>
                </c:pt>
                <c:pt idx="6">
                  <c:v>25.899940478558289</c:v>
                </c:pt>
              </c:numCache>
            </c:numRef>
          </c:yVal>
        </c:ser>
        <c:axId val="46827392"/>
        <c:axId val="46828928"/>
      </c:scatterChart>
      <c:valAx>
        <c:axId val="46827392"/>
        <c:scaling>
          <c:orientation val="minMax"/>
          <c:max val="85"/>
          <c:min val="-85"/>
        </c:scaling>
        <c:axPos val="b"/>
        <c:numFmt formatCode="General" sourceLinked="1"/>
        <c:tickLblPos val="nextTo"/>
        <c:crossAx val="46828928"/>
        <c:crosses val="autoZero"/>
        <c:crossBetween val="midCat"/>
      </c:valAx>
      <c:valAx>
        <c:axId val="46828928"/>
        <c:scaling>
          <c:orientation val="minMax"/>
          <c:max val="85"/>
          <c:min val="-85"/>
        </c:scaling>
        <c:axPos val="l"/>
        <c:numFmt formatCode="General" sourceLinked="1"/>
        <c:tickLblPos val="nextTo"/>
        <c:crossAx val="4682739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dLblPos val="b"/>
              <c:showSerName val="1"/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dLblPos val="l"/>
              <c:showSerName val="1"/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ja-JP"/>
                </a:p>
              </c:txPr>
              <c:showSerName val="1"/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SerName val="1"/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Val val="1"/>
            </c:dLbl>
            <c:numFmt formatCode="General" sourceLinked="0"/>
            <c:showSerName val="1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16.527431864029143</c:v>
                </c:pt>
                <c:pt idx="1">
                  <c:v>28.596199785848516</c:v>
                </c:pt>
                <c:pt idx="2">
                  <c:v>6.7058947100076116</c:v>
                </c:pt>
                <c:pt idx="3">
                  <c:v>-13.375280966160972</c:v>
                </c:pt>
                <c:pt idx="4">
                  <c:v>-46.347768113328961</c:v>
                </c:pt>
                <c:pt idx="5">
                  <c:v>-38.335360358979742</c:v>
                </c:pt>
                <c:pt idx="6">
                  <c:v>44.99513267805775</c:v>
                </c:pt>
                <c:pt idx="7">
                  <c:v>60.621778264910709</c:v>
                </c:pt>
                <c:pt idx="8">
                  <c:v>23.941410032796817</c:v>
                </c:pt>
                <c:pt idx="9">
                  <c:v>-5.3290705182007514E-15</c:v>
                </c:pt>
                <c:pt idx="10">
                  <c:v>-68.936542710854567</c:v>
                </c:pt>
                <c:pt idx="11">
                  <c:v>-60.621778264910695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126.58738918340154</c:v>
                </c:pt>
                <c:pt idx="1">
                  <c:v>125.27568453976627</c:v>
                </c:pt>
                <c:pt idx="2">
                  <c:v>108.34815695490846</c:v>
                </c:pt>
                <c:pt idx="3">
                  <c:v>103.46395647922394</c:v>
                </c:pt>
                <c:pt idx="4">
                  <c:v>107.0476002101595</c:v>
                </c:pt>
                <c:pt idx="5">
                  <c:v>113.24350532947931</c:v>
                </c:pt>
                <c:pt idx="6">
                  <c:v>26.811555509164233</c:v>
                </c:pt>
                <c:pt idx="7">
                  <c:v>17.5</c:v>
                </c:pt>
                <c:pt idx="8">
                  <c:v>-32.8892417275068</c:v>
                </c:pt>
                <c:pt idx="9">
                  <c:v>-35.000000000000014</c:v>
                </c:pt>
                <c:pt idx="10">
                  <c:v>6.0776862183425626</c:v>
                </c:pt>
                <c:pt idx="11">
                  <c:v>17.500000000000004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0"/>
                  <c:y val="4.488268334833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Val val="1"/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Val val="1"/>
            </c:dLbl>
            <c:showVal val="1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16.527431864029143</c:v>
                </c:pt>
                <c:pt idx="1">
                  <c:v>44.99513267805775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126.58738918340154</c:v>
                </c:pt>
                <c:pt idx="1">
                  <c:v>26.811555509164233</c:v>
                </c:pt>
              </c:numCache>
            </c:numRef>
          </c:yVal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28.596199785848516</c:v>
                </c:pt>
                <c:pt idx="1">
                  <c:v>60.621778264910709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125.27568453976627</c:v>
                </c:pt>
                <c:pt idx="1">
                  <c:v>17.5</c:v>
                </c:pt>
              </c:numCache>
            </c:numRef>
          </c:yVal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6.7058947100076116</c:v>
                </c:pt>
                <c:pt idx="1">
                  <c:v>23.941410032796817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108.34815695490846</c:v>
                </c:pt>
                <c:pt idx="1">
                  <c:v>-32.8892417275068</c:v>
                </c:pt>
              </c:numCache>
            </c:numRef>
          </c:yVal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-13.375280966160972</c:v>
                </c:pt>
                <c:pt idx="1">
                  <c:v>-5.3290705182007514E-15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103.46395647922394</c:v>
                </c:pt>
                <c:pt idx="1">
                  <c:v>-35.000000000000014</c:v>
                </c:pt>
              </c:numCache>
            </c:numRef>
          </c:yVal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-46.347768113328961</c:v>
                </c:pt>
                <c:pt idx="1">
                  <c:v>-68.936542710854567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107.0476002101595</c:v>
                </c:pt>
                <c:pt idx="1">
                  <c:v>6.0776862183425626</c:v>
                </c:pt>
              </c:numCache>
            </c:numRef>
          </c:yVal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-38.335360358979742</c:v>
                </c:pt>
                <c:pt idx="1">
                  <c:v>-60.621778264910695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113.24350532947931</c:v>
                </c:pt>
                <c:pt idx="1">
                  <c:v>17.500000000000004</c:v>
                </c:pt>
              </c:numCache>
            </c:numRef>
          </c:yVal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44.99513267805775</c:v>
                </c:pt>
                <c:pt idx="1">
                  <c:v>22.06243615391136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26.811555509164233</c:v>
                </c:pt>
                <c:pt idx="1">
                  <c:v>16.912215082829764</c:v>
                </c:pt>
              </c:numCache>
            </c:numRef>
          </c:yVal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60.621778264910709</c:v>
                </c:pt>
                <c:pt idx="1">
                  <c:v>52.085362449736422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17.5</c:v>
                </c:pt>
                <c:pt idx="1">
                  <c:v>4.5308795848066143</c:v>
                </c:pt>
              </c:numCache>
            </c:numRef>
          </c:yVal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23.941410032796817</c:v>
                </c:pt>
                <c:pt idx="1">
                  <c:v>31.917482119453538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-32.8892417275068</c:v>
                </c:pt>
                <c:pt idx="1">
                  <c:v>-14.130498057296698</c:v>
                </c:pt>
              </c:numCache>
            </c:numRef>
          </c:yVal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-5.3290705182007514E-15</c:v>
                </c:pt>
                <c:pt idx="1">
                  <c:v>-15.923392203588925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-35.000000000000014</c:v>
                </c:pt>
                <c:pt idx="1">
                  <c:v>-22.596808869530165</c:v>
                </c:pt>
              </c:numCache>
            </c:numRef>
          </c:yVal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-68.936542710854567</c:v>
                </c:pt>
                <c:pt idx="1">
                  <c:v>-56.826237387368259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6.0776862183425626</c:v>
                </c:pt>
                <c:pt idx="1">
                  <c:v>-15.369958212850076</c:v>
                </c:pt>
              </c:numCache>
            </c:numRef>
          </c:yVal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-60.621778264910695</c:v>
                </c:pt>
                <c:pt idx="1">
                  <c:v>-44.822315385495372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17.500000000000004</c:v>
                </c:pt>
                <c:pt idx="1">
                  <c:v>2.2883605450721731</c:v>
                </c:pt>
              </c:numCache>
            </c:numRef>
          </c:yVal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16.527431864029143</c:v>
                </c:pt>
                <c:pt idx="1">
                  <c:v>22.06243615391136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126.58738918340154</c:v>
                </c:pt>
                <c:pt idx="1">
                  <c:v>16.912215082829764</c:v>
                </c:pt>
              </c:numCache>
            </c:numRef>
          </c:yVal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28.596199785848516</c:v>
                </c:pt>
                <c:pt idx="1">
                  <c:v>52.085362449736422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125.27568453976627</c:v>
                </c:pt>
                <c:pt idx="1">
                  <c:v>4.5308795848066143</c:v>
                </c:pt>
              </c:numCache>
            </c:numRef>
          </c:yVal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6.7058947100076116</c:v>
                </c:pt>
                <c:pt idx="1">
                  <c:v>31.917482119453538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108.34815695490846</c:v>
                </c:pt>
                <c:pt idx="1">
                  <c:v>-14.130498057296698</c:v>
                </c:pt>
              </c:numCache>
            </c:numRef>
          </c:yVal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-13.375280966160972</c:v>
                </c:pt>
                <c:pt idx="1">
                  <c:v>-15.923392203588925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103.46395647922394</c:v>
                </c:pt>
                <c:pt idx="1">
                  <c:v>-22.596808869530165</c:v>
                </c:pt>
              </c:numCache>
            </c:numRef>
          </c:yVal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-46.347768113328961</c:v>
                </c:pt>
                <c:pt idx="1">
                  <c:v>-56.826237387368259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107.0476002101595</c:v>
                </c:pt>
                <c:pt idx="1">
                  <c:v>-15.369958212850076</c:v>
                </c:pt>
              </c:numCache>
            </c:numRef>
          </c:yVal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-38.335360358979742</c:v>
                </c:pt>
                <c:pt idx="1">
                  <c:v>-44.822315385495372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113.24350532947931</c:v>
                </c:pt>
                <c:pt idx="1">
                  <c:v>2.2883605450721731</c:v>
                </c:pt>
              </c:numCache>
            </c:numRef>
          </c:yVal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16.527431864029143</c:v>
                </c:pt>
                <c:pt idx="1">
                  <c:v>28.596199785848516</c:v>
                </c:pt>
                <c:pt idx="2">
                  <c:v>6.7058947100076116</c:v>
                </c:pt>
                <c:pt idx="3">
                  <c:v>-13.375280966160972</c:v>
                </c:pt>
                <c:pt idx="4">
                  <c:v>-46.347768113328961</c:v>
                </c:pt>
                <c:pt idx="5">
                  <c:v>-38.335360358979742</c:v>
                </c:pt>
                <c:pt idx="6">
                  <c:v>16.527431864029143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126.58738918340154</c:v>
                </c:pt>
                <c:pt idx="1">
                  <c:v>125.27568453976627</c:v>
                </c:pt>
                <c:pt idx="2">
                  <c:v>108.34815695490846</c:v>
                </c:pt>
                <c:pt idx="3">
                  <c:v>103.46395647922394</c:v>
                </c:pt>
                <c:pt idx="4">
                  <c:v>107.0476002101595</c:v>
                </c:pt>
                <c:pt idx="5">
                  <c:v>113.24350532947931</c:v>
                </c:pt>
                <c:pt idx="6">
                  <c:v>126.58738918340154</c:v>
                </c:pt>
              </c:numCache>
            </c:numRef>
          </c:yVal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44.99513267805775</c:v>
                </c:pt>
                <c:pt idx="1">
                  <c:v>60.621778264910709</c:v>
                </c:pt>
                <c:pt idx="2">
                  <c:v>23.941410032796817</c:v>
                </c:pt>
                <c:pt idx="3">
                  <c:v>-5.3290705182007514E-15</c:v>
                </c:pt>
                <c:pt idx="4">
                  <c:v>-68.936542710854567</c:v>
                </c:pt>
                <c:pt idx="5">
                  <c:v>-60.621778264910695</c:v>
                </c:pt>
                <c:pt idx="6">
                  <c:v>44.99513267805775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26.811555509164233</c:v>
                </c:pt>
                <c:pt idx="1">
                  <c:v>17.5</c:v>
                </c:pt>
                <c:pt idx="2">
                  <c:v>-32.8892417275068</c:v>
                </c:pt>
                <c:pt idx="3">
                  <c:v>-35.000000000000014</c:v>
                </c:pt>
                <c:pt idx="4">
                  <c:v>6.0776862183425626</c:v>
                </c:pt>
                <c:pt idx="5">
                  <c:v>17.500000000000004</c:v>
                </c:pt>
                <c:pt idx="6">
                  <c:v>26.811555509164233</c:v>
                </c:pt>
              </c:numCache>
            </c:numRef>
          </c:yVal>
        </c:ser>
        <c:axId val="47393024"/>
        <c:axId val="47403008"/>
      </c:scatterChart>
      <c:valAx>
        <c:axId val="47393024"/>
        <c:scaling>
          <c:orientation val="minMax"/>
          <c:max val="170"/>
          <c:min val="-170"/>
        </c:scaling>
        <c:axPos val="b"/>
        <c:numFmt formatCode="General" sourceLinked="1"/>
        <c:tickLblPos val="none"/>
        <c:spPr>
          <a:noFill/>
          <a:ln>
            <a:noFill/>
          </a:ln>
        </c:spPr>
        <c:crossAx val="47403008"/>
        <c:crosses val="autoZero"/>
        <c:crossBetween val="midCat"/>
      </c:valAx>
      <c:valAx>
        <c:axId val="47403008"/>
        <c:scaling>
          <c:orientation val="minMax"/>
          <c:max val="170"/>
          <c:min val="-170"/>
        </c:scaling>
        <c:axPos val="l"/>
        <c:numFmt formatCode="General" sourceLinked="1"/>
        <c:tickLblPos val="none"/>
        <c:spPr>
          <a:ln>
            <a:noFill/>
          </a:ln>
        </c:spPr>
        <c:crossAx val="47393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1" l="0.75000000000000266" r="0.75000000000000266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layout/>
    </c:title>
    <c:plotArea>
      <c:layout>
        <c:manualLayout>
          <c:layoutTarget val="inner"/>
          <c:xMode val="edge"/>
          <c:yMode val="edge"/>
          <c:x val="0.21807072302415467"/>
          <c:y val="0.34552336921187676"/>
          <c:w val="0.52271175120473767"/>
          <c:h val="0.60968749548508372"/>
        </c:manualLayout>
      </c:layout>
      <c:barChart>
        <c:barDir val="col"/>
        <c:grouping val="clustered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dLbls>
            <c:numFmt formatCode="#,##0" sourceLinked="0"/>
            <c:showVal val="1"/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-21.336628779237007</c:v>
                </c:pt>
                <c:pt idx="1">
                  <c:v>-3.2894442101329613</c:v>
                </c:pt>
                <c:pt idx="2">
                  <c:v>21.121403857573625</c:v>
                </c:pt>
                <c:pt idx="3">
                  <c:v>7.7371882644347583</c:v>
                </c:pt>
                <c:pt idx="4">
                  <c:v>-41.095796226353379</c:v>
                </c:pt>
                <c:pt idx="5">
                  <c:v>-50.079221638857007</c:v>
                </c:pt>
              </c:numCache>
            </c:numRef>
          </c:val>
        </c:ser>
        <c:axId val="47413120"/>
        <c:axId val="47414656"/>
      </c:barChart>
      <c:catAx>
        <c:axId val="47413120"/>
        <c:scaling>
          <c:orientation val="minMax"/>
        </c:scaling>
        <c:axPos val="b"/>
        <c:majorGridlines/>
        <c:tickLblPos val="nextTo"/>
        <c:crossAx val="47414656"/>
        <c:crosses val="autoZero"/>
        <c:auto val="1"/>
        <c:lblAlgn val="ctr"/>
        <c:lblOffset val="40"/>
      </c:catAx>
      <c:valAx>
        <c:axId val="47414656"/>
        <c:scaling>
          <c:orientation val="minMax"/>
          <c:max val="65"/>
          <c:min val="-50"/>
        </c:scaling>
        <c:axPos val="l"/>
        <c:majorGridlines/>
        <c:numFmt formatCode="_ * #,##0.00_ ;_ * \-#,##0.00_ ;_ * &quot;-&quot;??_ ;_ @_ " sourceLinked="1"/>
        <c:tickLblPos val="nextTo"/>
        <c:crossAx val="47413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mwaters1982@gmail.co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L119"/>
  <sheetViews>
    <sheetView tabSelected="1" zoomScaleNormal="100" workbookViewId="0">
      <selection activeCell="F3" sqref="F3"/>
    </sheetView>
  </sheetViews>
  <sheetFormatPr defaultRowHeight="12.75"/>
  <cols>
    <col min="1" max="3" width="9.140625" style="3"/>
    <col min="4" max="4" width="9.140625" style="26"/>
    <col min="5" max="5" width="6.140625" style="3" customWidth="1"/>
    <col min="6" max="6" width="59.5703125" style="3" customWidth="1"/>
    <col min="7" max="7" width="14.5703125" style="3" customWidth="1"/>
    <col min="8" max="50" width="9.140625" style="3"/>
    <col min="51" max="51" width="16.42578125" style="3" bestFit="1" customWidth="1"/>
    <col min="52" max="16384" width="9.14062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5" thickBot="1">
      <c r="G2" s="47" t="s">
        <v>115</v>
      </c>
      <c r="AY2" s="27" t="s">
        <v>66</v>
      </c>
      <c r="AZ2" s="5">
        <f>DATA!K12</f>
        <v>21.349252445976756</v>
      </c>
      <c r="BA2" s="6">
        <f>DATA!L12</f>
        <v>25.899940478558289</v>
      </c>
      <c r="BB2" s="7">
        <f>DATA!M12</f>
        <v>129.30397677740348</v>
      </c>
      <c r="BE2" s="5">
        <f t="shared" ref="BE2:BE7" si="0">(AZ2*_RMX1)+(BA2*_RMY1)+(BB2*_RMZ1)</f>
        <v>16.527431864029143</v>
      </c>
      <c r="BF2" s="7">
        <f t="shared" ref="BF2:BF7" si="1">(AZ2*_RMX2)+(BA2*_RMY2)+(BB2*_RMZ2)</f>
        <v>126.58738918340154</v>
      </c>
      <c r="BG2" s="4"/>
      <c r="BH2" s="4"/>
      <c r="BI2" s="8">
        <f>SIN(RADIANS(XROTATE))</f>
        <v>-0.8660254037844386</v>
      </c>
      <c r="BJ2" s="9">
        <f>SIN(RADIANS(YROTATE))</f>
        <v>0</v>
      </c>
      <c r="BK2" s="10">
        <f>SIN(RADIANS(ZROTATE))</f>
        <v>0.17364817766693033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30.597141590110823</v>
      </c>
      <c r="BA3" s="12">
        <f>DATA!L13</f>
        <v>8.8460615754416629</v>
      </c>
      <c r="BB3" s="13">
        <f>DATA!M13</f>
        <v>136.55867376631136</v>
      </c>
      <c r="BE3" s="11">
        <f t="shared" si="0"/>
        <v>28.596199785848516</v>
      </c>
      <c r="BF3" s="13">
        <f t="shared" si="1"/>
        <v>125.27568453976627</v>
      </c>
      <c r="BG3" s="4"/>
      <c r="BI3" s="14">
        <f>COS(RADIANS(XROTATE))</f>
        <v>0.50000000000000011</v>
      </c>
      <c r="BJ3" s="15">
        <f>COS(RADIANS(YROTATE))</f>
        <v>1</v>
      </c>
      <c r="BK3" s="16">
        <f>COS(RADIANS(ZROTATE))</f>
        <v>0.98480775301220802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0.1537053690482395</v>
      </c>
      <c r="BA4" s="12">
        <f>DATA!L14</f>
        <v>-37.746002053999959</v>
      </c>
      <c r="BB4" s="13">
        <f>DATA!M14</f>
        <v>146.5558502160068</v>
      </c>
      <c r="BE4" s="11">
        <f t="shared" si="0"/>
        <v>6.7058947100076116</v>
      </c>
      <c r="BF4" s="13">
        <f t="shared" si="1"/>
        <v>108.34815695490846</v>
      </c>
      <c r="BG4" s="4"/>
    </row>
    <row r="5" spans="1:64">
      <c r="G5" s="11" t="s">
        <v>54</v>
      </c>
      <c r="H5" s="23">
        <v>300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-20.237254810486061</v>
      </c>
      <c r="BA5" s="12">
        <f>DATA!L15</f>
        <v>-37.746002053999959</v>
      </c>
      <c r="BB5" s="13">
        <f>DATA!M15</f>
        <v>142.96037377380298</v>
      </c>
      <c r="BE5" s="11">
        <f t="shared" si="0"/>
        <v>-13.375280966160972</v>
      </c>
      <c r="BF5" s="13">
        <f t="shared" si="1"/>
        <v>103.46395647922394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-45.502957815024999</v>
      </c>
      <c r="BA6" s="12">
        <f>DATA!L16</f>
        <v>8.8460615754416629</v>
      </c>
      <c r="BB6" s="13">
        <f>DATA!M16</f>
        <v>123.14017300658972</v>
      </c>
      <c r="BE6" s="11">
        <f t="shared" si="0"/>
        <v>-46.347768113328961</v>
      </c>
      <c r="BF6" s="13">
        <f t="shared" si="1"/>
        <v>107.0476002101595</v>
      </c>
      <c r="BG6" s="4"/>
      <c r="BI6" s="8">
        <f>YCOS*ZCOS</f>
        <v>0.98480775301220802</v>
      </c>
      <c r="BJ6" s="9">
        <f>-ZSIN * YCOS</f>
        <v>-0.17364817766693033</v>
      </c>
      <c r="BK6" s="10">
        <f>YSIN</f>
        <v>0</v>
      </c>
    </row>
    <row r="7" spans="1:64">
      <c r="G7" s="11" t="s">
        <v>56</v>
      </c>
      <c r="H7" s="23">
        <v>10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-34.359886779624759</v>
      </c>
      <c r="BA7" s="12">
        <f>DATA!L17</f>
        <v>25.899940478558289</v>
      </c>
      <c r="BB7" s="13">
        <f>DATA!M17</f>
        <v>119.48095245988566</v>
      </c>
      <c r="BE7" s="11">
        <f t="shared" si="0"/>
        <v>-38.335360358979742</v>
      </c>
      <c r="BF7" s="13">
        <f t="shared" si="1"/>
        <v>113.24350532947931</v>
      </c>
      <c r="BG7" s="4"/>
      <c r="BI7" s="17">
        <f>ZCOS * -YSIN * -XSIN + ZSIN * XCOS</f>
        <v>8.6824088833465179E-2</v>
      </c>
      <c r="BJ7" s="18">
        <f>-ZSIN * -YSIN * -XSIN + ZCOS*XCOS</f>
        <v>0.49240387650610412</v>
      </c>
      <c r="BK7" s="19">
        <f>YCOS * -XSIN</f>
        <v>0.8660254037844386</v>
      </c>
    </row>
    <row r="8" spans="1:64">
      <c r="G8" s="11" t="s">
        <v>59</v>
      </c>
      <c r="H8" s="23">
        <v>153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53.623111018328458</v>
      </c>
      <c r="BA8" s="12">
        <f>DATA!L3</f>
        <v>44.99513267805775</v>
      </c>
      <c r="BB8" s="13">
        <f>DATA!M3</f>
        <v>0</v>
      </c>
      <c r="BE8" s="11">
        <f t="shared" ref="BE8:BE13" si="2">(AZ8*_RMX1)+(BA8*_RMY1)+(BB8*_RMZ1)</f>
        <v>44.99513267805775</v>
      </c>
      <c r="BF8" s="13">
        <f t="shared" ref="BF8:BF13" si="3">(AZ8*_RMX2)+(BA8*_RMY2)+(BB8*_RMZ2)</f>
        <v>26.811555509164233</v>
      </c>
      <c r="BG8" s="4"/>
      <c r="BI8" s="14">
        <f>ZCOS * -YSIN * XCOS + ZSIN * XSIN</f>
        <v>-0.15038373318043527</v>
      </c>
      <c r="BJ8" s="15">
        <f>-ZSIN * -YSIN * XCOS + ZCOS * XSIN</f>
        <v>-0.85286853195244317</v>
      </c>
      <c r="BK8" s="16">
        <f>YCOS * XCOS</f>
        <v>0.50000000000000011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65.778483455013586</v>
      </c>
      <c r="BA9" s="12">
        <f>DATA!L4</f>
        <v>23.941410032796806</v>
      </c>
      <c r="BB9" s="13">
        <f>DATA!M4</f>
        <v>0</v>
      </c>
      <c r="BE9" s="11">
        <f t="shared" si="2"/>
        <v>60.621778264910709</v>
      </c>
      <c r="BF9" s="13">
        <f t="shared" si="3"/>
        <v>17.5</v>
      </c>
      <c r="BG9" s="4"/>
    </row>
    <row r="10" spans="1:64" ht="13.5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12.155372436685129</v>
      </c>
      <c r="BA10" s="12">
        <f>DATA!L5</f>
        <v>-68.936542710854567</v>
      </c>
      <c r="BB10" s="13">
        <f>DATA!M5</f>
        <v>0</v>
      </c>
      <c r="BE10" s="11">
        <f t="shared" si="2"/>
        <v>23.941410032796817</v>
      </c>
      <c r="BF10" s="13">
        <f t="shared" si="3"/>
        <v>-32.8892417275068</v>
      </c>
      <c r="BG10" s="4"/>
    </row>
    <row r="11" spans="1:64" ht="13.5" thickBot="1">
      <c r="AY11" s="28" t="s">
        <v>63</v>
      </c>
      <c r="AZ11" s="11">
        <f>DATA!K6</f>
        <v>-12.155372436685129</v>
      </c>
      <c r="BA11" s="12">
        <f>DATA!L6</f>
        <v>-68.936542710854567</v>
      </c>
      <c r="BB11" s="13">
        <f>DATA!M6</f>
        <v>0</v>
      </c>
      <c r="BE11" s="11">
        <f t="shared" si="2"/>
        <v>-5.3290705182007514E-15</v>
      </c>
      <c r="BF11" s="13">
        <f t="shared" si="3"/>
        <v>-35.000000000000014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-65.778483455013586</v>
      </c>
      <c r="BA12" s="12">
        <f>DATA!L7</f>
        <v>23.941410032796806</v>
      </c>
      <c r="BB12" s="13">
        <f>DATA!M7</f>
        <v>0</v>
      </c>
      <c r="BE12" s="11">
        <f t="shared" si="2"/>
        <v>-68.936542710854567</v>
      </c>
      <c r="BF12" s="13">
        <f t="shared" si="3"/>
        <v>6.0776862183425626</v>
      </c>
    </row>
    <row r="13" spans="1:64">
      <c r="G13" s="44">
        <f>DATA!R10</f>
        <v>-8</v>
      </c>
      <c r="H13" s="12">
        <f>DATA!S10</f>
        <v>-1</v>
      </c>
      <c r="I13" s="12">
        <f>DATA!T10</f>
        <v>-2</v>
      </c>
      <c r="J13" s="12">
        <f>DATA!U32-30</f>
        <v>-18</v>
      </c>
      <c r="K13" s="12">
        <f>DATA!V32-30</f>
        <v>-10</v>
      </c>
      <c r="L13" s="48">
        <f>DATA!W32-30</f>
        <v>0</v>
      </c>
      <c r="M13" s="44"/>
      <c r="N13" s="12"/>
      <c r="O13" s="12"/>
      <c r="P13" s="12"/>
      <c r="Q13" s="48"/>
      <c r="AY13" s="29" t="s">
        <v>65</v>
      </c>
      <c r="AZ13" s="20">
        <f>DATA!K8</f>
        <v>-53.623111018328458</v>
      </c>
      <c r="BA13" s="21">
        <f>DATA!L8</f>
        <v>44.99513267805775</v>
      </c>
      <c r="BB13" s="22">
        <f>DATA!M8</f>
        <v>0</v>
      </c>
      <c r="BE13" s="20">
        <f t="shared" si="2"/>
        <v>-60.621778264910695</v>
      </c>
      <c r="BF13" s="22">
        <f t="shared" si="3"/>
        <v>17.500000000000004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21.349252445976756</v>
      </c>
      <c r="BA16" s="6">
        <f>BA2</f>
        <v>25.899940478558289</v>
      </c>
      <c r="BB16" s="7">
        <f>BB2</f>
        <v>129.30397677740348</v>
      </c>
      <c r="BE16" s="5">
        <f t="shared" ref="BE16:BE26" si="4">(AZ16*_RMX1)+(BA16*_RMY1)+(BB16*_RMZ1)</f>
        <v>16.527431864029143</v>
      </c>
      <c r="BF16" s="7">
        <f t="shared" ref="BF16:BF27" si="5">(AZ16*_RMX2)+(BA16*_RMY2)+(BB16*_RMZ2)</f>
        <v>126.58738918340154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53.623111018328458</v>
      </c>
      <c r="BA17" s="21">
        <f>BA8</f>
        <v>44.99513267805775</v>
      </c>
      <c r="BB17" s="22">
        <f>BB8</f>
        <v>0</v>
      </c>
      <c r="BE17" s="20">
        <f t="shared" si="4"/>
        <v>44.99513267805775</v>
      </c>
      <c r="BF17" s="22">
        <f t="shared" si="5"/>
        <v>26.811555509164233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30.597141590110823</v>
      </c>
      <c r="BA18" s="6">
        <f>BA3</f>
        <v>8.8460615754416629</v>
      </c>
      <c r="BB18" s="7">
        <f>BB3</f>
        <v>136.55867376631136</v>
      </c>
      <c r="BE18" s="5">
        <f t="shared" si="4"/>
        <v>28.596199785848516</v>
      </c>
      <c r="BF18" s="7">
        <f t="shared" si="5"/>
        <v>125.27568453976627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65.778483455013586</v>
      </c>
      <c r="BA19" s="21">
        <f>BA9</f>
        <v>23.941410032796806</v>
      </c>
      <c r="BB19" s="22">
        <f>BB9</f>
        <v>0</v>
      </c>
      <c r="BE19" s="20">
        <f t="shared" si="4"/>
        <v>60.621778264910709</v>
      </c>
      <c r="BF19" s="22">
        <f t="shared" si="5"/>
        <v>17.5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0.1537053690482395</v>
      </c>
      <c r="BA20" s="6">
        <f>BA4</f>
        <v>-37.746002053999959</v>
      </c>
      <c r="BB20" s="7">
        <f>BB4</f>
        <v>146.5558502160068</v>
      </c>
      <c r="BE20" s="5">
        <f t="shared" si="4"/>
        <v>6.7058947100076116</v>
      </c>
      <c r="BF20" s="7">
        <f t="shared" si="5"/>
        <v>108.34815695490846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12.155372436685129</v>
      </c>
      <c r="BA21" s="21">
        <f>BA10</f>
        <v>-68.936542710854567</v>
      </c>
      <c r="BB21" s="22">
        <f>BB10</f>
        <v>0</v>
      </c>
      <c r="BE21" s="20">
        <f t="shared" si="4"/>
        <v>23.941410032796817</v>
      </c>
      <c r="BF21" s="22">
        <f t="shared" si="5"/>
        <v>-32.8892417275068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-20.237254810486061</v>
      </c>
      <c r="BA22" s="6">
        <f>BA5</f>
        <v>-37.746002053999959</v>
      </c>
      <c r="BB22" s="7">
        <f>BB5</f>
        <v>142.96037377380298</v>
      </c>
      <c r="BE22" s="5">
        <f t="shared" si="4"/>
        <v>-13.375280966160972</v>
      </c>
      <c r="BF22" s="7">
        <f t="shared" si="5"/>
        <v>103.46395647922394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-12.155372436685129</v>
      </c>
      <c r="BA23" s="21">
        <f>BA11</f>
        <v>-68.936542710854567</v>
      </c>
      <c r="BB23" s="22">
        <f>BB11</f>
        <v>0</v>
      </c>
      <c r="BE23" s="20">
        <f t="shared" si="4"/>
        <v>-5.3290705182007514E-15</v>
      </c>
      <c r="BF23" s="22">
        <f t="shared" si="5"/>
        <v>-35.000000000000014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-45.502957815024999</v>
      </c>
      <c r="BA24" s="6">
        <f>BA6</f>
        <v>8.8460615754416629</v>
      </c>
      <c r="BB24" s="7">
        <f>BB6</f>
        <v>123.14017300658972</v>
      </c>
      <c r="BE24" s="5">
        <f t="shared" si="4"/>
        <v>-46.347768113328961</v>
      </c>
      <c r="BF24" s="7">
        <f t="shared" si="5"/>
        <v>107.0476002101595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-65.778483455013586</v>
      </c>
      <c r="BA25" s="21">
        <f>BA12</f>
        <v>23.941410032796806</v>
      </c>
      <c r="BB25" s="22">
        <f>BB12</f>
        <v>0</v>
      </c>
      <c r="BE25" s="20">
        <f t="shared" si="4"/>
        <v>-68.936542710854567</v>
      </c>
      <c r="BF25" s="22">
        <f t="shared" si="5"/>
        <v>6.0776862183425626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-34.359886779624759</v>
      </c>
      <c r="BA26" s="6">
        <f>BA7</f>
        <v>25.899940478558289</v>
      </c>
      <c r="BB26" s="7">
        <f>BB7</f>
        <v>119.48095245988566</v>
      </c>
      <c r="BE26" s="11">
        <f t="shared" si="4"/>
        <v>-38.335360358979742</v>
      </c>
      <c r="BF26" s="13">
        <f t="shared" si="5"/>
        <v>113.24350532947931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-53.623111018328458</v>
      </c>
      <c r="BA27" s="21">
        <f>BA13</f>
        <v>44.99513267805775</v>
      </c>
      <c r="BB27" s="22">
        <f>BB13</f>
        <v>0</v>
      </c>
      <c r="BE27" s="20">
        <f>(AZ27*_RMX1)+(BA27*_RMY1)+(BB27*_RMZ1)</f>
        <v>-60.621778264910695</v>
      </c>
      <c r="BF27" s="22">
        <f t="shared" si="5"/>
        <v>17.500000000000004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30.33664068541049</v>
      </c>
      <c r="BA32" s="25">
        <f>DATA!L39</f>
        <v>44.99513267805775</v>
      </c>
      <c r="BB32" s="25">
        <f>DATA!M39</f>
        <v>-9.0961694923814633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53.299078393999423</v>
      </c>
      <c r="BA33" s="25">
        <f>DATA!L40</f>
        <v>2.3264464188880858</v>
      </c>
      <c r="BB33" s="25">
        <f>DATA!M40</f>
        <v>-1.4345024546985194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23.81560976817758</v>
      </c>
      <c r="BA34" s="25">
        <f>DATA!L41</f>
        <v>-48.740419224398302</v>
      </c>
      <c r="BB34" s="25">
        <f>DATA!M41</f>
        <v>9.0086326095073623</v>
      </c>
      <c r="BD34" s="12"/>
    </row>
    <row r="35" spans="7:58" ht="13.5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-24.541572764468434</v>
      </c>
      <c r="BA35" s="25">
        <f>DATA!L42</f>
        <v>-47.483014430407593</v>
      </c>
      <c r="BB35" s="25">
        <f>DATA!M42</f>
        <v>3.3657340596194505</v>
      </c>
      <c r="BD35" s="12"/>
    </row>
    <row r="36" spans="7:58">
      <c r="AY36">
        <v>5</v>
      </c>
      <c r="AZ36" s="25">
        <f>DATA!K43</f>
        <v>-56.358338183862521</v>
      </c>
      <c r="BA36" s="25">
        <f>DATA!L43</f>
        <v>7.6252398084834674</v>
      </c>
      <c r="BB36" s="25">
        <f>DATA!M43</f>
        <v>-16.432998882785853</v>
      </c>
      <c r="BD36" s="12"/>
    </row>
    <row r="37" spans="7:58">
      <c r="AY37">
        <v>6</v>
      </c>
      <c r="AZ37" s="25">
        <f>DATA!K44</f>
        <v>-37.579915957069161</v>
      </c>
      <c r="BA37" s="25">
        <f>DATA!L44</f>
        <v>44.99513267805775</v>
      </c>
      <c r="BB37" s="25">
        <f>DATA!M44</f>
        <v>-19.173311978538958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53.623111018328458</v>
      </c>
      <c r="BA40" s="6">
        <f>BA8</f>
        <v>44.99513267805775</v>
      </c>
      <c r="BB40" s="6">
        <f>BB8</f>
        <v>0</v>
      </c>
      <c r="BC40" s="6"/>
      <c r="BD40" s="6"/>
      <c r="BE40" s="6">
        <f t="shared" ref="BE40:BE51" si="6">(AZ40*_RMX1)+(BA40*_RMY1)+(BB40*_RMZ1)</f>
        <v>44.99513267805775</v>
      </c>
      <c r="BF40" s="7">
        <f t="shared" ref="BF40:BF51" si="7">(AZ40*_RMX2)+(BA40*_RMY2)+(BB40*_RMZ2)</f>
        <v>26.811555509164233</v>
      </c>
    </row>
    <row r="41" spans="7:58">
      <c r="AY41" s="20"/>
      <c r="AZ41" s="30">
        <f>AZ32</f>
        <v>30.33664068541049</v>
      </c>
      <c r="BA41" s="30">
        <f>BA32</f>
        <v>44.99513267805775</v>
      </c>
      <c r="BB41" s="30">
        <f>BB32</f>
        <v>-9.0961694923814633</v>
      </c>
      <c r="BC41" s="21"/>
      <c r="BD41" s="21"/>
      <c r="BE41" s="21">
        <f t="shared" si="6"/>
        <v>22.06243615391136</v>
      </c>
      <c r="BF41" s="22">
        <f t="shared" si="7"/>
        <v>16.912215082829764</v>
      </c>
    </row>
    <row r="42" spans="7:58">
      <c r="AY42" s="5" t="s">
        <v>95</v>
      </c>
      <c r="AZ42" s="6">
        <f>AZ9</f>
        <v>65.778483455013586</v>
      </c>
      <c r="BA42" s="6">
        <f>BA9</f>
        <v>23.941410032796806</v>
      </c>
      <c r="BB42" s="6">
        <f>BB9</f>
        <v>0</v>
      </c>
      <c r="BC42" s="6"/>
      <c r="BD42" s="6"/>
      <c r="BE42" s="6">
        <f t="shared" si="6"/>
        <v>60.621778264910709</v>
      </c>
      <c r="BF42" s="7">
        <f t="shared" si="7"/>
        <v>17.5</v>
      </c>
    </row>
    <row r="43" spans="7:58">
      <c r="AY43" s="20"/>
      <c r="AZ43" s="30">
        <f>AZ33</f>
        <v>53.299078393999423</v>
      </c>
      <c r="BA43" s="30">
        <f>BA33</f>
        <v>2.3264464188880858</v>
      </c>
      <c r="BB43" s="30">
        <f>BB33</f>
        <v>-1.4345024546985194</v>
      </c>
      <c r="BC43" s="21"/>
      <c r="BD43" s="21"/>
      <c r="BE43" s="21">
        <f t="shared" si="6"/>
        <v>52.085362449736422</v>
      </c>
      <c r="BF43" s="22">
        <f t="shared" si="7"/>
        <v>4.5308795848066143</v>
      </c>
    </row>
    <row r="44" spans="7:58">
      <c r="AY44" s="5" t="s">
        <v>96</v>
      </c>
      <c r="AZ44" s="6">
        <f>AZ10</f>
        <v>12.155372436685129</v>
      </c>
      <c r="BA44" s="6">
        <f>BA10</f>
        <v>-68.936542710854567</v>
      </c>
      <c r="BB44" s="6">
        <f>BB10</f>
        <v>0</v>
      </c>
      <c r="BC44" s="6"/>
      <c r="BD44" s="6"/>
      <c r="BE44" s="6">
        <f t="shared" si="6"/>
        <v>23.941410032796817</v>
      </c>
      <c r="BF44" s="7">
        <f t="shared" si="7"/>
        <v>-32.8892417275068</v>
      </c>
    </row>
    <row r="45" spans="7:58">
      <c r="AY45" s="20"/>
      <c r="AZ45" s="30">
        <f>AZ34</f>
        <v>23.81560976817758</v>
      </c>
      <c r="BA45" s="30">
        <f>BA34</f>
        <v>-48.740419224398302</v>
      </c>
      <c r="BB45" s="30">
        <f>BB34</f>
        <v>9.0086326095073623</v>
      </c>
      <c r="BC45" s="21"/>
      <c r="BD45" s="21"/>
      <c r="BE45" s="21">
        <f t="shared" si="6"/>
        <v>31.917482119453538</v>
      </c>
      <c r="BF45" s="22">
        <f t="shared" si="7"/>
        <v>-14.130498057296698</v>
      </c>
    </row>
    <row r="46" spans="7:58">
      <c r="AY46" s="5" t="s">
        <v>97</v>
      </c>
      <c r="AZ46" s="6">
        <f>AZ11</f>
        <v>-12.155372436685129</v>
      </c>
      <c r="BA46" s="6">
        <f>BA11</f>
        <v>-68.936542710854567</v>
      </c>
      <c r="BB46" s="6">
        <f>BB11</f>
        <v>0</v>
      </c>
      <c r="BC46" s="6"/>
      <c r="BD46" s="6"/>
      <c r="BE46" s="6">
        <f t="shared" si="6"/>
        <v>-5.3290705182007514E-15</v>
      </c>
      <c r="BF46" s="7">
        <f t="shared" si="7"/>
        <v>-35.000000000000014</v>
      </c>
    </row>
    <row r="47" spans="7:58">
      <c r="AY47" s="20"/>
      <c r="AZ47" s="30">
        <f>AZ35</f>
        <v>-24.541572764468434</v>
      </c>
      <c r="BA47" s="30">
        <f>BA35</f>
        <v>-47.483014430407593</v>
      </c>
      <c r="BB47" s="30">
        <f>BB35</f>
        <v>3.3657340596194505</v>
      </c>
      <c r="BC47" s="21"/>
      <c r="BD47" s="21"/>
      <c r="BE47" s="21">
        <f t="shared" si="6"/>
        <v>-15.923392203588925</v>
      </c>
      <c r="BF47" s="22">
        <f t="shared" si="7"/>
        <v>-22.596808869530165</v>
      </c>
    </row>
    <row r="48" spans="7:58">
      <c r="AY48" s="5" t="s">
        <v>98</v>
      </c>
      <c r="AZ48" s="6">
        <f>AZ12</f>
        <v>-65.778483455013586</v>
      </c>
      <c r="BA48" s="6">
        <f>BA12</f>
        <v>23.941410032796806</v>
      </c>
      <c r="BB48" s="6">
        <f>BB12</f>
        <v>0</v>
      </c>
      <c r="BC48" s="6"/>
      <c r="BD48" s="6"/>
      <c r="BE48" s="6">
        <f t="shared" si="6"/>
        <v>-68.936542710854567</v>
      </c>
      <c r="BF48" s="7">
        <f t="shared" si="7"/>
        <v>6.0776862183425626</v>
      </c>
    </row>
    <row r="49" spans="51:64">
      <c r="AY49" s="20"/>
      <c r="AZ49" s="30">
        <f>AZ36</f>
        <v>-56.358338183862521</v>
      </c>
      <c r="BA49" s="30">
        <f>BA36</f>
        <v>7.6252398084834674</v>
      </c>
      <c r="BB49" s="30">
        <f>BB36</f>
        <v>-16.432998882785853</v>
      </c>
      <c r="BC49" s="21"/>
      <c r="BD49" s="21"/>
      <c r="BE49" s="21">
        <f t="shared" si="6"/>
        <v>-56.826237387368259</v>
      </c>
      <c r="BF49" s="22">
        <f t="shared" si="7"/>
        <v>-15.369958212850076</v>
      </c>
    </row>
    <row r="50" spans="51:64">
      <c r="AY50" s="5" t="s">
        <v>99</v>
      </c>
      <c r="AZ50" s="6">
        <f>AZ13</f>
        <v>-53.623111018328458</v>
      </c>
      <c r="BA50" s="6">
        <f>BA13</f>
        <v>44.99513267805775</v>
      </c>
      <c r="BB50" s="6">
        <f>BB13</f>
        <v>0</v>
      </c>
      <c r="BC50" s="6"/>
      <c r="BD50" s="6"/>
      <c r="BE50" s="6">
        <f t="shared" si="6"/>
        <v>-60.621778264910695</v>
      </c>
      <c r="BF50" s="7">
        <f t="shared" si="7"/>
        <v>17.500000000000004</v>
      </c>
    </row>
    <row r="51" spans="51:64">
      <c r="AY51" s="20"/>
      <c r="AZ51" s="30">
        <f>AZ37</f>
        <v>-37.579915957069161</v>
      </c>
      <c r="BA51" s="30">
        <f>BA37</f>
        <v>44.99513267805775</v>
      </c>
      <c r="BB51" s="30">
        <f>BB37</f>
        <v>-19.173311978538958</v>
      </c>
      <c r="BC51" s="21"/>
      <c r="BD51" s="21"/>
      <c r="BE51" s="21">
        <f t="shared" si="6"/>
        <v>-44.822315385495372</v>
      </c>
      <c r="BF51" s="22">
        <f t="shared" si="7"/>
        <v>2.2883605450721731</v>
      </c>
    </row>
    <row r="54" spans="51:64">
      <c r="AY54" s="5" t="s">
        <v>100</v>
      </c>
      <c r="AZ54" s="6">
        <f>AZ16</f>
        <v>21.349252445976756</v>
      </c>
      <c r="BA54" s="6">
        <f>BA16</f>
        <v>25.899940478558289</v>
      </c>
      <c r="BB54" s="6">
        <f>BB16</f>
        <v>129.30397677740348</v>
      </c>
      <c r="BC54" s="6"/>
      <c r="BD54" s="6"/>
      <c r="BE54" s="6">
        <f t="shared" ref="BE54:BE65" si="8">(AZ54*_RMX1)+(BA54*_RMY1)+(BB54*_RMZ1)</f>
        <v>16.527431864029143</v>
      </c>
      <c r="BF54" s="7">
        <f t="shared" ref="BF54:BF65" si="9">(AZ54*_RMX2)+(BA54*_RMY2)+(BB54*_RMZ2)</f>
        <v>126.58738918340154</v>
      </c>
    </row>
    <row r="55" spans="51:64">
      <c r="AY55" s="20"/>
      <c r="AZ55" s="30">
        <f>AZ41</f>
        <v>30.33664068541049</v>
      </c>
      <c r="BA55" s="30">
        <f>BA41</f>
        <v>44.99513267805775</v>
      </c>
      <c r="BB55" s="30">
        <f>BB41</f>
        <v>-9.0961694923814633</v>
      </c>
      <c r="BC55" s="21"/>
      <c r="BD55" s="21"/>
      <c r="BE55" s="21">
        <f t="shared" si="8"/>
        <v>22.06243615391136</v>
      </c>
      <c r="BF55" s="22">
        <f t="shared" si="9"/>
        <v>16.912215082829764</v>
      </c>
    </row>
    <row r="56" spans="51:64">
      <c r="AY56" s="5" t="s">
        <v>101</v>
      </c>
      <c r="AZ56" s="6">
        <f>AZ18</f>
        <v>30.597141590110823</v>
      </c>
      <c r="BA56" s="6">
        <f>BA18</f>
        <v>8.8460615754416629</v>
      </c>
      <c r="BB56" s="6">
        <f>BB18</f>
        <v>136.55867376631136</v>
      </c>
      <c r="BC56" s="6"/>
      <c r="BD56" s="6"/>
      <c r="BE56" s="6">
        <f t="shared" si="8"/>
        <v>28.596199785848516</v>
      </c>
      <c r="BF56" s="7">
        <f t="shared" si="9"/>
        <v>125.27568453976627</v>
      </c>
    </row>
    <row r="57" spans="51:64">
      <c r="AY57" s="20"/>
      <c r="AZ57" s="30">
        <f>AZ43</f>
        <v>53.299078393999423</v>
      </c>
      <c r="BA57" s="30">
        <f>BA43</f>
        <v>2.3264464188880858</v>
      </c>
      <c r="BB57" s="30">
        <f>BB43</f>
        <v>-1.4345024546985194</v>
      </c>
      <c r="BC57" s="21"/>
      <c r="BD57" s="21"/>
      <c r="BE57" s="21">
        <f t="shared" si="8"/>
        <v>52.085362449736422</v>
      </c>
      <c r="BF57" s="22">
        <f t="shared" si="9"/>
        <v>4.5308795848066143</v>
      </c>
    </row>
    <row r="58" spans="51:64">
      <c r="AY58" s="5" t="s">
        <v>102</v>
      </c>
      <c r="AZ58" s="6">
        <f>AZ20</f>
        <v>0.1537053690482395</v>
      </c>
      <c r="BA58" s="6">
        <f>BA20</f>
        <v>-37.746002053999959</v>
      </c>
      <c r="BB58" s="6">
        <f>BB20</f>
        <v>146.5558502160068</v>
      </c>
      <c r="BC58" s="6"/>
      <c r="BD58" s="6"/>
      <c r="BE58" s="6">
        <f t="shared" si="8"/>
        <v>6.7058947100076116</v>
      </c>
      <c r="BF58" s="7">
        <f t="shared" si="9"/>
        <v>108.34815695490846</v>
      </c>
    </row>
    <row r="59" spans="51:64">
      <c r="AY59" s="20"/>
      <c r="AZ59" s="30">
        <f>AZ45</f>
        <v>23.81560976817758</v>
      </c>
      <c r="BA59" s="30">
        <f>BA45</f>
        <v>-48.740419224398302</v>
      </c>
      <c r="BB59" s="30">
        <f>BB45</f>
        <v>9.0086326095073623</v>
      </c>
      <c r="BC59" s="21"/>
      <c r="BD59" s="21"/>
      <c r="BE59" s="21">
        <f t="shared" si="8"/>
        <v>31.917482119453538</v>
      </c>
      <c r="BF59" s="22">
        <f t="shared" si="9"/>
        <v>-14.130498057296698</v>
      </c>
      <c r="BL59" s="12"/>
    </row>
    <row r="60" spans="51:64">
      <c r="AY60" s="5" t="s">
        <v>103</v>
      </c>
      <c r="AZ60" s="6">
        <f>AZ22</f>
        <v>-20.237254810486061</v>
      </c>
      <c r="BA60" s="6">
        <f>BA22</f>
        <v>-37.746002053999959</v>
      </c>
      <c r="BB60" s="6">
        <f>BB22</f>
        <v>142.96037377380298</v>
      </c>
      <c r="BC60" s="6"/>
      <c r="BD60" s="6"/>
      <c r="BE60" s="6">
        <f t="shared" si="8"/>
        <v>-13.375280966160972</v>
      </c>
      <c r="BF60" s="7">
        <f t="shared" si="9"/>
        <v>103.46395647922394</v>
      </c>
      <c r="BL60" s="12"/>
    </row>
    <row r="61" spans="51:64">
      <c r="AY61" s="20"/>
      <c r="AZ61" s="30">
        <f>AZ47</f>
        <v>-24.541572764468434</v>
      </c>
      <c r="BA61" s="30">
        <f>BA47</f>
        <v>-47.483014430407593</v>
      </c>
      <c r="BB61" s="30">
        <f>BB47</f>
        <v>3.3657340596194505</v>
      </c>
      <c r="BC61" s="21"/>
      <c r="BD61" s="21"/>
      <c r="BE61" s="21">
        <f t="shared" si="8"/>
        <v>-15.923392203588925</v>
      </c>
      <c r="BF61" s="22">
        <f t="shared" si="9"/>
        <v>-22.596808869530165</v>
      </c>
      <c r="BL61" s="12"/>
    </row>
    <row r="62" spans="51:64">
      <c r="AY62" s="5" t="s">
        <v>104</v>
      </c>
      <c r="AZ62" s="6">
        <f>AZ24</f>
        <v>-45.502957815024999</v>
      </c>
      <c r="BA62" s="6">
        <f>BA24</f>
        <v>8.8460615754416629</v>
      </c>
      <c r="BB62" s="6">
        <f>BB24</f>
        <v>123.14017300658972</v>
      </c>
      <c r="BC62" s="6"/>
      <c r="BD62" s="6"/>
      <c r="BE62" s="6">
        <f t="shared" si="8"/>
        <v>-46.347768113328961</v>
      </c>
      <c r="BF62" s="7">
        <f t="shared" si="9"/>
        <v>107.0476002101595</v>
      </c>
      <c r="BL62" s="12"/>
    </row>
    <row r="63" spans="51:64">
      <c r="AY63" s="20"/>
      <c r="AZ63" s="30">
        <f>AZ49</f>
        <v>-56.358338183862521</v>
      </c>
      <c r="BA63" s="30">
        <f>BA49</f>
        <v>7.6252398084834674</v>
      </c>
      <c r="BB63" s="30">
        <f>BB49</f>
        <v>-16.432998882785853</v>
      </c>
      <c r="BC63" s="21"/>
      <c r="BD63" s="21"/>
      <c r="BE63" s="21">
        <f t="shared" si="8"/>
        <v>-56.826237387368259</v>
      </c>
      <c r="BF63" s="22">
        <f t="shared" si="9"/>
        <v>-15.369958212850076</v>
      </c>
      <c r="BL63" s="12"/>
    </row>
    <row r="64" spans="51:64">
      <c r="AY64" s="5" t="s">
        <v>105</v>
      </c>
      <c r="AZ64" s="6">
        <f>AZ26</f>
        <v>-34.359886779624759</v>
      </c>
      <c r="BA64" s="6">
        <f>BA26</f>
        <v>25.899940478558289</v>
      </c>
      <c r="BB64" s="6">
        <f>BB26</f>
        <v>119.48095245988566</v>
      </c>
      <c r="BC64" s="6"/>
      <c r="BD64" s="6"/>
      <c r="BE64" s="6">
        <f t="shared" si="8"/>
        <v>-38.335360358979742</v>
      </c>
      <c r="BF64" s="7">
        <f t="shared" si="9"/>
        <v>113.24350532947931</v>
      </c>
      <c r="BL64" s="12"/>
    </row>
    <row r="65" spans="51:64">
      <c r="AY65" s="20"/>
      <c r="AZ65" s="30">
        <f>AZ51</f>
        <v>-37.579915957069161</v>
      </c>
      <c r="BA65" s="30">
        <f>BA51</f>
        <v>44.99513267805775</v>
      </c>
      <c r="BB65" s="30">
        <f>BB51</f>
        <v>-19.173311978538958</v>
      </c>
      <c r="BC65" s="21"/>
      <c r="BD65" s="21"/>
      <c r="BE65" s="21">
        <f t="shared" si="8"/>
        <v>-44.822315385495372</v>
      </c>
      <c r="BF65" s="22">
        <f t="shared" si="9"/>
        <v>2.2883605450721731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21.349252445976756</v>
      </c>
      <c r="BA69" s="3">
        <f t="shared" si="10"/>
        <v>25.899940478558289</v>
      </c>
      <c r="BB69" s="3">
        <f t="shared" si="10"/>
        <v>129.30397677740348</v>
      </c>
      <c r="BE69" s="21">
        <f t="shared" ref="BE69:BE74" si="11">(AZ69*_RMX1)+(BA69*_RMY1)+(BB69*_RMZ1)</f>
        <v>16.527431864029143</v>
      </c>
      <c r="BF69" s="22">
        <f t="shared" ref="BF69:BF74" si="12">(AZ69*_RMX2)+(BA69*_RMY2)+(BB69*_RMZ2)</f>
        <v>126.58738918340154</v>
      </c>
      <c r="BL69" s="12"/>
    </row>
    <row r="70" spans="51:64">
      <c r="AZ70" s="3">
        <f t="shared" si="10"/>
        <v>30.597141590110823</v>
      </c>
      <c r="BA70" s="3">
        <f t="shared" si="10"/>
        <v>8.8460615754416629</v>
      </c>
      <c r="BB70" s="3">
        <f t="shared" si="10"/>
        <v>136.55867376631136</v>
      </c>
      <c r="BE70" s="21">
        <f t="shared" si="11"/>
        <v>28.596199785848516</v>
      </c>
      <c r="BF70" s="22">
        <f t="shared" si="12"/>
        <v>125.27568453976627</v>
      </c>
      <c r="BL70" s="12"/>
    </row>
    <row r="71" spans="51:64">
      <c r="AZ71" s="3">
        <f t="shared" si="10"/>
        <v>0.1537053690482395</v>
      </c>
      <c r="BA71" s="3">
        <f t="shared" si="10"/>
        <v>-37.746002053999959</v>
      </c>
      <c r="BB71" s="3">
        <f t="shared" si="10"/>
        <v>146.5558502160068</v>
      </c>
      <c r="BE71" s="21">
        <f t="shared" si="11"/>
        <v>6.7058947100076116</v>
      </c>
      <c r="BF71" s="22">
        <f t="shared" si="12"/>
        <v>108.34815695490846</v>
      </c>
      <c r="BL71" s="12"/>
    </row>
    <row r="72" spans="51:64">
      <c r="AZ72" s="3">
        <f t="shared" si="10"/>
        <v>-20.237254810486061</v>
      </c>
      <c r="BA72" s="3">
        <f t="shared" si="10"/>
        <v>-37.746002053999959</v>
      </c>
      <c r="BB72" s="3">
        <f t="shared" si="10"/>
        <v>142.96037377380298</v>
      </c>
      <c r="BE72" s="21">
        <f t="shared" si="11"/>
        <v>-13.375280966160972</v>
      </c>
      <c r="BF72" s="22">
        <f t="shared" si="12"/>
        <v>103.46395647922394</v>
      </c>
      <c r="BL72" s="12"/>
    </row>
    <row r="73" spans="51:64">
      <c r="AZ73" s="3">
        <f t="shared" si="10"/>
        <v>-45.502957815024999</v>
      </c>
      <c r="BA73" s="3">
        <f t="shared" si="10"/>
        <v>8.8460615754416629</v>
      </c>
      <c r="BB73" s="3">
        <f t="shared" si="10"/>
        <v>123.14017300658972</v>
      </c>
      <c r="BE73" s="21">
        <f t="shared" si="11"/>
        <v>-46.347768113328961</v>
      </c>
      <c r="BF73" s="22">
        <f t="shared" si="12"/>
        <v>107.0476002101595</v>
      </c>
      <c r="BL73" s="12"/>
    </row>
    <row r="74" spans="51:64">
      <c r="AZ74" s="3">
        <f t="shared" si="10"/>
        <v>-34.359886779624759</v>
      </c>
      <c r="BA74" s="3">
        <f t="shared" si="10"/>
        <v>25.899940478558289</v>
      </c>
      <c r="BB74" s="3">
        <f t="shared" si="10"/>
        <v>119.48095245988566</v>
      </c>
      <c r="BE74" s="21">
        <f t="shared" si="11"/>
        <v>-38.335360358979742</v>
      </c>
      <c r="BF74" s="22">
        <f t="shared" si="12"/>
        <v>113.24350532947931</v>
      </c>
      <c r="BL74" s="12"/>
    </row>
    <row r="75" spans="51:64">
      <c r="AZ75" s="3">
        <f>AZ69</f>
        <v>21.349252445976756</v>
      </c>
      <c r="BA75" s="3">
        <f>BA69</f>
        <v>25.899940478558289</v>
      </c>
      <c r="BB75" s="3">
        <f>BB69</f>
        <v>129.30397677740348</v>
      </c>
      <c r="BE75" s="21">
        <f t="shared" ref="BE75:BE83" si="13">(AZ75*_RMX1)+(BA75*_RMY1)+(BB75*_RMZ1)</f>
        <v>16.527431864029143</v>
      </c>
      <c r="BF75" s="22">
        <f t="shared" ref="BF75:BF83" si="14">(AZ75*_RMX2)+(BA75*_RMY2)+(BB75*_RMZ2)</f>
        <v>126.58738918340154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53.623111018328458</v>
      </c>
      <c r="BA77" s="3">
        <f t="shared" si="15"/>
        <v>44.99513267805775</v>
      </c>
      <c r="BB77" s="3">
        <f t="shared" si="15"/>
        <v>0</v>
      </c>
      <c r="BE77" s="21">
        <f t="shared" si="13"/>
        <v>44.99513267805775</v>
      </c>
      <c r="BF77" s="22">
        <f t="shared" si="14"/>
        <v>26.811555509164233</v>
      </c>
      <c r="BL77" s="12"/>
    </row>
    <row r="78" spans="51:64">
      <c r="AZ78" s="3">
        <f t="shared" si="15"/>
        <v>65.778483455013586</v>
      </c>
      <c r="BA78" s="3">
        <f t="shared" si="15"/>
        <v>23.941410032796806</v>
      </c>
      <c r="BB78" s="3">
        <f t="shared" si="15"/>
        <v>0</v>
      </c>
      <c r="BE78" s="21">
        <f t="shared" si="13"/>
        <v>60.621778264910709</v>
      </c>
      <c r="BF78" s="22">
        <f t="shared" si="14"/>
        <v>17.5</v>
      </c>
      <c r="BJ78" s="12"/>
      <c r="BK78" s="12"/>
      <c r="BL78" s="12"/>
    </row>
    <row r="79" spans="51:64">
      <c r="AZ79" s="3">
        <f t="shared" si="15"/>
        <v>12.155372436685129</v>
      </c>
      <c r="BA79" s="3">
        <f t="shared" si="15"/>
        <v>-68.936542710854567</v>
      </c>
      <c r="BB79" s="3">
        <f t="shared" si="15"/>
        <v>0</v>
      </c>
      <c r="BE79" s="21">
        <f t="shared" si="13"/>
        <v>23.941410032796817</v>
      </c>
      <c r="BF79" s="22">
        <f t="shared" si="14"/>
        <v>-32.8892417275068</v>
      </c>
    </row>
    <row r="80" spans="51:64">
      <c r="AZ80" s="3">
        <f t="shared" si="15"/>
        <v>-12.155372436685129</v>
      </c>
      <c r="BA80" s="3">
        <f t="shared" si="15"/>
        <v>-68.936542710854567</v>
      </c>
      <c r="BB80" s="3">
        <f t="shared" si="15"/>
        <v>0</v>
      </c>
      <c r="BE80" s="21">
        <f t="shared" si="13"/>
        <v>-5.3290705182007514E-15</v>
      </c>
      <c r="BF80" s="22">
        <f t="shared" si="14"/>
        <v>-35.000000000000014</v>
      </c>
    </row>
    <row r="81" spans="51:58">
      <c r="AZ81" s="3">
        <f t="shared" si="15"/>
        <v>-65.778483455013586</v>
      </c>
      <c r="BA81" s="3">
        <f t="shared" si="15"/>
        <v>23.941410032796806</v>
      </c>
      <c r="BB81" s="3">
        <f t="shared" si="15"/>
        <v>0</v>
      </c>
      <c r="BE81" s="21">
        <f t="shared" si="13"/>
        <v>-68.936542710854567</v>
      </c>
      <c r="BF81" s="22">
        <f t="shared" si="14"/>
        <v>6.0776862183425626</v>
      </c>
    </row>
    <row r="82" spans="51:58">
      <c r="AZ82" s="3">
        <f t="shared" si="15"/>
        <v>-53.623111018328458</v>
      </c>
      <c r="BA82" s="3">
        <f t="shared" si="15"/>
        <v>44.99513267805775</v>
      </c>
      <c r="BB82" s="3">
        <f t="shared" si="15"/>
        <v>0</v>
      </c>
      <c r="BE82" s="21">
        <f t="shared" si="13"/>
        <v>-60.621778264910695</v>
      </c>
      <c r="BF82" s="22">
        <f t="shared" si="14"/>
        <v>17.500000000000004</v>
      </c>
    </row>
    <row r="83" spans="51:58">
      <c r="AZ83" s="3">
        <f>AZ77</f>
        <v>53.623111018328458</v>
      </c>
      <c r="BA83" s="3">
        <f>BA77</f>
        <v>44.99513267805775</v>
      </c>
      <c r="BB83" s="3">
        <f>BB77</f>
        <v>0</v>
      </c>
      <c r="BE83" s="21">
        <f t="shared" si="13"/>
        <v>44.99513267805775</v>
      </c>
      <c r="BF83" s="22">
        <f t="shared" si="14"/>
        <v>26.811555509164233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-153</v>
      </c>
      <c r="BA89" s="6">
        <v>0</v>
      </c>
      <c r="BB89" s="7">
        <v>0</v>
      </c>
      <c r="BC89" s="12"/>
      <c r="BE89" s="5">
        <f t="shared" ref="BE89:BE96" si="16">(AZ89*_RMX1)+(BA89*_RMY1)+(BB89*_RMZ1)</f>
        <v>-150.67558621086783</v>
      </c>
      <c r="BF89" s="7">
        <f t="shared" ref="BF89:BF96" si="17">(AZ89*_RMX2)+(BA89*_RMY2)+(BB89*_RMZ2)</f>
        <v>-13.284085591520173</v>
      </c>
    </row>
    <row r="90" spans="51:58">
      <c r="AZ90" s="11">
        <f>1*$H$8</f>
        <v>153</v>
      </c>
      <c r="BA90" s="12">
        <v>0</v>
      </c>
      <c r="BB90" s="13">
        <v>0</v>
      </c>
      <c r="BC90" s="12"/>
      <c r="BE90" s="11">
        <f t="shared" si="16"/>
        <v>150.67558621086783</v>
      </c>
      <c r="BF90" s="13">
        <f t="shared" si="17"/>
        <v>13.284085591520173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-153</v>
      </c>
      <c r="BB92" s="13">
        <v>0</v>
      </c>
      <c r="BC92" s="12"/>
      <c r="BE92" s="11">
        <f t="shared" si="16"/>
        <v>26.568171183040342</v>
      </c>
      <c r="BF92" s="13">
        <f t="shared" si="17"/>
        <v>-75.337793105433931</v>
      </c>
    </row>
    <row r="93" spans="51:58">
      <c r="AZ93" s="11">
        <v>0</v>
      </c>
      <c r="BA93" s="12">
        <f>1*$H$8</f>
        <v>153</v>
      </c>
      <c r="BB93" s="13">
        <v>0</v>
      </c>
      <c r="BC93" s="12"/>
      <c r="BE93" s="11">
        <f t="shared" si="16"/>
        <v>-26.568171183040342</v>
      </c>
      <c r="BF93" s="13">
        <f t="shared" si="17"/>
        <v>75.337793105433931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-153</v>
      </c>
      <c r="BC95" s="12"/>
      <c r="BE95" s="11">
        <f t="shared" si="16"/>
        <v>0</v>
      </c>
      <c r="BF95" s="13">
        <f t="shared" si="17"/>
        <v>-132.50188677901912</v>
      </c>
    </row>
    <row r="96" spans="51:58">
      <c r="AZ96" s="20">
        <v>0</v>
      </c>
      <c r="BA96" s="21">
        <v>0</v>
      </c>
      <c r="BB96" s="22">
        <f>1*$H$8</f>
        <v>153</v>
      </c>
      <c r="BC96" s="12"/>
      <c r="BE96" s="20">
        <f t="shared" si="16"/>
        <v>0</v>
      </c>
      <c r="BF96" s="22">
        <f t="shared" si="17"/>
        <v>132.50188677901912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-153</v>
      </c>
      <c r="BA101" s="6">
        <f>-1*$H$8</f>
        <v>-153</v>
      </c>
      <c r="BB101" s="7">
        <f>-1*$H$8</f>
        <v>-153</v>
      </c>
      <c r="BC101" s="12"/>
      <c r="BE101" s="5">
        <f t="shared" ref="BE101:BE110" si="18">(AZ101*_RMX1)+(BA101*_RMY1)+(BB101*_RMZ1)</f>
        <v>-124.1074150278275</v>
      </c>
      <c r="BF101" s="7">
        <f t="shared" ref="BF101:BF110" si="19">(AZ101*_RMX2)+(BA101*_RMY2)+(BB101*_RMZ2)</f>
        <v>-221.12376547597322</v>
      </c>
    </row>
    <row r="102" spans="51:58">
      <c r="AY102" s="12"/>
      <c r="AZ102" s="11">
        <f>1*$H$8</f>
        <v>153</v>
      </c>
      <c r="BA102" s="12">
        <f>-1*$H$8</f>
        <v>-153</v>
      </c>
      <c r="BB102" s="13">
        <f>-1*$H$8</f>
        <v>-153</v>
      </c>
      <c r="BC102" s="12"/>
      <c r="BE102" s="11">
        <f t="shared" si="18"/>
        <v>177.24375739390817</v>
      </c>
      <c r="BF102" s="13">
        <f t="shared" si="19"/>
        <v>-194.55559429293288</v>
      </c>
    </row>
    <row r="103" spans="51:58">
      <c r="AY103" s="12"/>
      <c r="AZ103" s="11">
        <f>1*$H$8</f>
        <v>153</v>
      </c>
      <c r="BA103" s="12">
        <f>1*$H$8</f>
        <v>153</v>
      </c>
      <c r="BB103" s="13">
        <f>-1*$H$8</f>
        <v>-153</v>
      </c>
      <c r="BC103" s="12"/>
      <c r="BE103" s="11">
        <f t="shared" si="18"/>
        <v>124.1074150278275</v>
      </c>
      <c r="BF103" s="13">
        <f t="shared" si="19"/>
        <v>-43.880008082065018</v>
      </c>
    </row>
    <row r="104" spans="51:58">
      <c r="AY104" s="12"/>
      <c r="AZ104" s="24">
        <f>-1*$H$8</f>
        <v>-153</v>
      </c>
      <c r="BA104" s="4">
        <f>1*$H$8</f>
        <v>153</v>
      </c>
      <c r="BB104" s="13">
        <f>-1*$H$8</f>
        <v>-153</v>
      </c>
      <c r="BC104" s="12"/>
      <c r="BE104" s="11">
        <f t="shared" si="18"/>
        <v>-177.24375739390817</v>
      </c>
      <c r="BF104" s="13">
        <f t="shared" si="19"/>
        <v>-70.448179265105352</v>
      </c>
    </row>
    <row r="105" spans="51:58">
      <c r="AY105" s="12"/>
      <c r="AZ105" s="24">
        <f>-1*$H$8</f>
        <v>-153</v>
      </c>
      <c r="BA105" s="4">
        <f>-1*$H$8</f>
        <v>-153</v>
      </c>
      <c r="BB105" s="13">
        <f>-1*$H$8</f>
        <v>-153</v>
      </c>
      <c r="BC105" s="12"/>
      <c r="BE105" s="11">
        <f t="shared" si="18"/>
        <v>-124.1074150278275</v>
      </c>
      <c r="BF105" s="13">
        <f t="shared" si="19"/>
        <v>-221.12376547597322</v>
      </c>
    </row>
    <row r="106" spans="51:58">
      <c r="AY106" s="12"/>
      <c r="AZ106" s="24">
        <f>-1*$H$8</f>
        <v>-153</v>
      </c>
      <c r="BA106" s="4">
        <f>-1*$H$8</f>
        <v>-153</v>
      </c>
      <c r="BB106" s="13">
        <f>1*$H$8</f>
        <v>153</v>
      </c>
      <c r="BC106" s="12"/>
      <c r="BE106" s="11">
        <f t="shared" si="18"/>
        <v>-124.1074150278275</v>
      </c>
      <c r="BF106" s="13">
        <f t="shared" si="19"/>
        <v>43.880008082065018</v>
      </c>
    </row>
    <row r="107" spans="51:58">
      <c r="AY107" s="12"/>
      <c r="AZ107" s="24">
        <f>1*$H$8</f>
        <v>153</v>
      </c>
      <c r="BA107" s="4">
        <f>-1*$H$8</f>
        <v>-153</v>
      </c>
      <c r="BB107" s="13">
        <f>1*$H$8</f>
        <v>153</v>
      </c>
      <c r="BC107" s="12"/>
      <c r="BE107" s="11">
        <f t="shared" si="18"/>
        <v>177.24375739390817</v>
      </c>
      <c r="BF107" s="13">
        <f t="shared" si="19"/>
        <v>70.448179265105352</v>
      </c>
    </row>
    <row r="108" spans="51:58">
      <c r="AY108" s="12"/>
      <c r="AZ108" s="24">
        <f>1*$H$8</f>
        <v>153</v>
      </c>
      <c r="BA108" s="4">
        <f>1*$H$8</f>
        <v>153</v>
      </c>
      <c r="BB108" s="13">
        <f>1*$H$8</f>
        <v>153</v>
      </c>
      <c r="BC108" s="12"/>
      <c r="BE108" s="11">
        <f t="shared" si="18"/>
        <v>124.1074150278275</v>
      </c>
      <c r="BF108" s="13">
        <f t="shared" si="19"/>
        <v>221.12376547597322</v>
      </c>
    </row>
    <row r="109" spans="51:58">
      <c r="AY109" s="12"/>
      <c r="AZ109" s="24">
        <f>-1*$H$8</f>
        <v>-153</v>
      </c>
      <c r="BA109" s="4">
        <f>1*$H$8</f>
        <v>153</v>
      </c>
      <c r="BB109" s="13">
        <f>1*$H$8</f>
        <v>153</v>
      </c>
      <c r="BC109" s="12"/>
      <c r="BE109" s="11">
        <f t="shared" si="18"/>
        <v>-177.24375739390817</v>
      </c>
      <c r="BF109" s="13">
        <f t="shared" si="19"/>
        <v>194.55559429293288</v>
      </c>
    </row>
    <row r="110" spans="51:58">
      <c r="AY110" s="12"/>
      <c r="AZ110" s="24">
        <f>-1*$H$8</f>
        <v>-153</v>
      </c>
      <c r="BA110" s="4">
        <f>-1*$H$8</f>
        <v>-153</v>
      </c>
      <c r="BB110" s="13">
        <f>1*$H$8</f>
        <v>153</v>
      </c>
      <c r="BC110" s="12"/>
      <c r="BE110" s="11">
        <f t="shared" si="18"/>
        <v>-124.1074150278275</v>
      </c>
      <c r="BF110" s="13">
        <f t="shared" si="19"/>
        <v>43.880008082065018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-153</v>
      </c>
      <c r="BA112" s="12">
        <f>1*$H$8</f>
        <v>153</v>
      </c>
      <c r="BB112" s="13">
        <f>1*$H$8</f>
        <v>153</v>
      </c>
      <c r="BC112" s="12"/>
      <c r="BE112" s="11">
        <f>(AZ112*_RMX1)+(BA112*_RMY1)+(BB112*_RMZ1)</f>
        <v>-177.24375739390817</v>
      </c>
      <c r="BF112" s="13">
        <f>(AZ112*_RMX2)+(BA112*_RMY2)+(BB112*_RMZ2)</f>
        <v>194.55559429293288</v>
      </c>
    </row>
    <row r="113" spans="52:58">
      <c r="AZ113" s="11">
        <f>-1*$H$8</f>
        <v>-153</v>
      </c>
      <c r="BA113" s="12">
        <f>1*$H$8</f>
        <v>153</v>
      </c>
      <c r="BB113" s="13">
        <f>-1*$H$8</f>
        <v>-153</v>
      </c>
      <c r="BC113" s="12"/>
      <c r="BE113" s="11">
        <f>(AZ113*_RMX1)+(BA113*_RMY1)+(BB113*_RMZ1)</f>
        <v>-177.24375739390817</v>
      </c>
      <c r="BF113" s="13">
        <f>(AZ113*_RMX2)+(BA113*_RMY2)+(BB113*_RMZ2)</f>
        <v>-70.448179265105352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153</v>
      </c>
      <c r="BA115" s="12">
        <f>1*$H$8</f>
        <v>153</v>
      </c>
      <c r="BB115" s="13">
        <f>-1*$H$8</f>
        <v>-153</v>
      </c>
      <c r="BC115" s="12"/>
      <c r="BE115" s="11">
        <f>(AZ115*_RMX1)+(BA115*_RMY1)+(BB115*_RMZ1)</f>
        <v>124.1074150278275</v>
      </c>
      <c r="BF115" s="13">
        <f>(AZ115*_RMX2)+(BA115*_RMY2)+(BB115*_RMZ2)</f>
        <v>-43.880008082065018</v>
      </c>
    </row>
    <row r="116" spans="52:58">
      <c r="AZ116" s="11">
        <f>1*$H$8</f>
        <v>153</v>
      </c>
      <c r="BA116" s="12">
        <f>1*$H$8</f>
        <v>153</v>
      </c>
      <c r="BB116" s="13">
        <f>1*$H$8</f>
        <v>153</v>
      </c>
      <c r="BC116" s="12"/>
      <c r="BE116" s="11">
        <f>(AZ116*_RMX1)+(BA116*_RMY1)+(BB116*_RMZ1)</f>
        <v>124.1074150278275</v>
      </c>
      <c r="BF116" s="13">
        <f>(AZ116*_RMX2)+(BA116*_RMY2)+(BB116*_RMZ2)</f>
        <v>221.12376547597322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153</v>
      </c>
      <c r="BA118" s="12">
        <f>-1*$H$8</f>
        <v>-153</v>
      </c>
      <c r="BB118" s="13">
        <f>1*$H$8</f>
        <v>153</v>
      </c>
      <c r="BC118" s="12"/>
      <c r="BE118" s="11">
        <f>(AZ118*_RMX1)+(BA118*_RMY1)+(BB118*_RMZ1)</f>
        <v>177.24375739390817</v>
      </c>
      <c r="BF118" s="13">
        <f>(AZ118*_RMX2)+(BA118*_RMY2)+(BB118*_RMZ2)</f>
        <v>70.448179265105352</v>
      </c>
    </row>
    <row r="119" spans="52:58">
      <c r="AZ119" s="20">
        <f>1*$H$8</f>
        <v>153</v>
      </c>
      <c r="BA119" s="21">
        <f>-1*$H$8</f>
        <v>-153</v>
      </c>
      <c r="BB119" s="22">
        <f>-1*$H$8</f>
        <v>-153</v>
      </c>
      <c r="BC119" s="12"/>
      <c r="BE119" s="20">
        <f>(AZ119*_RMX1)+(BA119*_RMY1)+(BB119*_RMZ1)</f>
        <v>177.24375739390817</v>
      </c>
      <c r="BF119" s="22">
        <f>(AZ119*_RMX2)+(BA119*_RMY2)+(BB119*_RMZ2)</f>
        <v>-194.55559429293288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control shapeId="3082" r:id="rId5" name="ScrollBar6"/>
    <control shapeId="3081" r:id="rId6" name="ScrollBar5"/>
    <control shapeId="3080" r:id="rId7" name="ScrollBar10"/>
    <control shapeId="3079" r:id="rId8" name="ScrollBar9"/>
    <control shapeId="3078" r:id="rId9" name="ScrollBar8"/>
    <control shapeId="3077" r:id="rId10" name="ScrollBar7"/>
    <control shapeId="3076" r:id="rId11" name="ScrollBar4"/>
    <control shapeId="3073" r:id="rId12" name="ScrollBar1"/>
    <control shapeId="3074" r:id="rId13" name="ScrollBar2"/>
    <control shapeId="3075" r:id="rId14" name="ScrollBar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W58"/>
  <sheetViews>
    <sheetView topLeftCell="O1" zoomScale="70" zoomScaleNormal="70" workbookViewId="0">
      <selection activeCell="S4" sqref="S4"/>
    </sheetView>
  </sheetViews>
  <sheetFormatPr defaultRowHeight="12.75"/>
  <cols>
    <col min="6" max="6" width="17.85546875" customWidth="1"/>
    <col min="10" max="10" width="17.85546875" style="53" bestFit="1" customWidth="1"/>
    <col min="11" max="14" width="10.7109375" style="53" customWidth="1"/>
    <col min="15" max="15" width="20.140625" customWidth="1"/>
    <col min="16" max="16" width="50" customWidth="1"/>
    <col min="17" max="17" width="12.42578125" bestFit="1" customWidth="1"/>
    <col min="19" max="21" width="11.42578125" customWidth="1"/>
    <col min="22" max="22" width="12.85546875" customWidth="1"/>
    <col min="23" max="23" width="11.42578125" customWidth="1"/>
  </cols>
  <sheetData>
    <row r="1" spans="1:23" ht="13.5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53.623111018328458</v>
      </c>
      <c r="L3" s="59">
        <f t="shared" ref="L3:L8" si="1">G36</f>
        <v>44.99513267805775</v>
      </c>
      <c r="M3" s="59">
        <v>0</v>
      </c>
      <c r="N3" s="60"/>
      <c r="P3" s="34" t="s">
        <v>120</v>
      </c>
      <c r="Q3" s="1" t="s">
        <v>1</v>
      </c>
      <c r="R3" s="72">
        <v>180</v>
      </c>
      <c r="S3" s="69">
        <v>-120</v>
      </c>
      <c r="T3" s="69">
        <v>60</v>
      </c>
      <c r="U3" s="69">
        <v>120</v>
      </c>
      <c r="V3" s="69">
        <v>-60</v>
      </c>
      <c r="W3" s="71">
        <v>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65.778483455013586</v>
      </c>
      <c r="L4" s="59">
        <f t="shared" si="1"/>
        <v>23.941410032796806</v>
      </c>
      <c r="M4" s="59">
        <v>0</v>
      </c>
      <c r="N4" s="60"/>
      <c r="P4" s="34" t="s">
        <v>118</v>
      </c>
      <c r="Q4" s="1" t="s">
        <v>2</v>
      </c>
      <c r="R4" s="67">
        <v>10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12.155372436685129</v>
      </c>
      <c r="L5" s="59">
        <f t="shared" si="1"/>
        <v>-68.936542710854567</v>
      </c>
      <c r="M5" s="59">
        <v>0</v>
      </c>
      <c r="N5" s="60"/>
      <c r="P5" s="34" t="s">
        <v>117</v>
      </c>
      <c r="Q5" s="1" t="s">
        <v>3</v>
      </c>
      <c r="R5" s="67">
        <v>40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-12.155372436685129</v>
      </c>
      <c r="L6" s="59">
        <f t="shared" si="1"/>
        <v>-68.936542710854567</v>
      </c>
      <c r="M6" s="59">
        <v>0</v>
      </c>
      <c r="N6" s="60"/>
      <c r="P6" s="34" t="s">
        <v>116</v>
      </c>
      <c r="Q6" s="1" t="s">
        <v>4</v>
      </c>
      <c r="R6" s="67">
        <v>70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-65.778483455013586</v>
      </c>
      <c r="L7" s="59">
        <f t="shared" si="1"/>
        <v>23.941410032796806</v>
      </c>
      <c r="M7" s="59">
        <v>0</v>
      </c>
      <c r="N7" s="60"/>
      <c r="P7" s="34" t="s">
        <v>121</v>
      </c>
      <c r="Q7" s="1" t="s">
        <v>5</v>
      </c>
      <c r="R7" s="67">
        <v>25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40</v>
      </c>
      <c r="D8" s="1">
        <f>PI()/6</f>
        <v>0.52359877559829882</v>
      </c>
      <c r="E8" s="1">
        <f>D8+RADIANS(R2)</f>
        <v>0.78539816339744828</v>
      </c>
      <c r="F8" s="1"/>
      <c r="G8" s="1">
        <f t="shared" ref="G8:G13" si="2">C8*COS(E8)</f>
        <v>28.284271247461902</v>
      </c>
      <c r="H8" s="35">
        <f>DEGREES(E8)</f>
        <v>45</v>
      </c>
      <c r="J8" s="57">
        <v>6</v>
      </c>
      <c r="K8" s="58">
        <f t="shared" si="0"/>
        <v>-53.623111018328458</v>
      </c>
      <c r="L8" s="59">
        <f t="shared" si="1"/>
        <v>44.99513267805775</v>
      </c>
      <c r="M8" s="59">
        <v>0</v>
      </c>
      <c r="N8" s="60"/>
      <c r="P8" s="34" t="s">
        <v>122</v>
      </c>
      <c r="Q8" s="1" t="s">
        <v>6</v>
      </c>
      <c r="R8" s="67">
        <v>140</v>
      </c>
      <c r="S8" s="1"/>
      <c r="T8" s="1"/>
      <c r="U8" s="1"/>
      <c r="V8" s="1"/>
      <c r="W8" s="35"/>
    </row>
    <row r="9" spans="1:23" ht="13.5" thickBot="1">
      <c r="A9" s="34"/>
      <c r="B9" s="1" t="s">
        <v>22</v>
      </c>
      <c r="C9" s="1">
        <f>$R$5</f>
        <v>40</v>
      </c>
      <c r="D9" s="1">
        <f>PI()/6</f>
        <v>0.52359877559829882</v>
      </c>
      <c r="E9" s="1">
        <f>D9-RADIANS(R2)</f>
        <v>0.26179938779914941</v>
      </c>
      <c r="F9" s="1"/>
      <c r="G9" s="1">
        <f t="shared" si="2"/>
        <v>38.637033051562732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135</v>
      </c>
      <c r="S9" s="1"/>
      <c r="T9" s="1"/>
      <c r="U9" s="1"/>
      <c r="V9" s="1"/>
      <c r="W9" s="35"/>
    </row>
    <row r="10" spans="1:23" ht="13.5" thickBot="1">
      <c r="A10" s="34"/>
      <c r="B10" s="1" t="s">
        <v>23</v>
      </c>
      <c r="C10" s="1">
        <f>$R$5</f>
        <v>40</v>
      </c>
      <c r="D10" s="1">
        <f>-PI()/2</f>
        <v>-1.5707963267948966</v>
      </c>
      <c r="E10" s="1">
        <f>D10+RADIANS(R2)</f>
        <v>-1.3089969389957472</v>
      </c>
      <c r="F10" s="1"/>
      <c r="G10" s="1">
        <f t="shared" si="2"/>
        <v>10.35276180410083</v>
      </c>
      <c r="H10" s="35">
        <f t="shared" si="3"/>
        <v>-75</v>
      </c>
      <c r="P10" s="34" t="s">
        <v>9</v>
      </c>
      <c r="Q10" s="1" t="s">
        <v>39</v>
      </c>
      <c r="R10" s="39">
        <f>R32-30</f>
        <v>-8</v>
      </c>
      <c r="S10" s="39">
        <f>S32-30</f>
        <v>-1</v>
      </c>
      <c r="T10" s="39">
        <f>T32-20</f>
        <v>-2</v>
      </c>
      <c r="U10" s="39">
        <f>(U32-30)*(PI()/180)</f>
        <v>-0.31415926535897931</v>
      </c>
      <c r="V10" s="39">
        <f>(V32-30)*(PI()/180)</f>
        <v>-0.17453292519943295</v>
      </c>
      <c r="W10" s="40">
        <f>(W32-30)*(PI()/180)</f>
        <v>0</v>
      </c>
    </row>
    <row r="11" spans="1:23" ht="13.5" thickBot="1">
      <c r="A11" s="34"/>
      <c r="B11" s="1" t="s">
        <v>24</v>
      </c>
      <c r="C11" s="1">
        <f>$R$5*-1</f>
        <v>-40</v>
      </c>
      <c r="D11" s="1">
        <f>-PI()/2</f>
        <v>-1.5707963267948966</v>
      </c>
      <c r="E11" s="1">
        <f>D11+RADIANS(R2)</f>
        <v>-1.3089969389957472</v>
      </c>
      <c r="F11" s="1"/>
      <c r="G11" s="1">
        <f t="shared" si="2"/>
        <v>-10.35276180410083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-40</v>
      </c>
      <c r="D12" s="1">
        <f>PI()/6</f>
        <v>0.52359877559829882</v>
      </c>
      <c r="E12" s="1">
        <f>D12-RADIANS(R2)</f>
        <v>0.26179938779914941</v>
      </c>
      <c r="F12" s="1"/>
      <c r="G12" s="1">
        <f t="shared" si="2"/>
        <v>-38.637033051562732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21.349252445976756</v>
      </c>
      <c r="L12" s="58">
        <f t="shared" ref="L12:L17" si="5">G8*COS($V$10)*SIN($W$10)+G14*(COS($U$10)*COS($W$10)+SIN($U$10)*SIN($V$10)*SIN($W$10))+$S$10</f>
        <v>25.899940478558289</v>
      </c>
      <c r="M12" s="58">
        <f t="shared" ref="M12:M17" si="6">-G8*SIN($V$10)+G14*SIN($U$10)*COS($V$10)+$R$9+$T$10</f>
        <v>129.30397677740348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-40</v>
      </c>
      <c r="D13" s="1">
        <f>PI()/6</f>
        <v>0.52359877559829882</v>
      </c>
      <c r="E13" s="1">
        <f>D13+RADIANS(R2)</f>
        <v>0.78539816339744828</v>
      </c>
      <c r="F13" s="1"/>
      <c r="G13" s="1">
        <f t="shared" si="2"/>
        <v>-28.284271247461902</v>
      </c>
      <c r="H13" s="35">
        <f t="shared" si="3"/>
        <v>45</v>
      </c>
      <c r="J13" s="57">
        <v>2</v>
      </c>
      <c r="K13" s="58">
        <f t="shared" si="4"/>
        <v>30.597141590110823</v>
      </c>
      <c r="L13" s="58">
        <f t="shared" si="5"/>
        <v>8.8460615754416629</v>
      </c>
      <c r="M13" s="58">
        <f t="shared" si="6"/>
        <v>136.55867376631136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5.5">
      <c r="A14" s="34" t="s">
        <v>19</v>
      </c>
      <c r="B14" s="1" t="s">
        <v>27</v>
      </c>
      <c r="C14" s="1">
        <f t="shared" ref="C14:C19" si="7">$R$5</f>
        <v>40</v>
      </c>
      <c r="D14" s="1">
        <f>PI()/6</f>
        <v>0.52359877559829882</v>
      </c>
      <c r="E14" s="1">
        <f>D14+RADIANS(R2)</f>
        <v>0.78539816339744828</v>
      </c>
      <c r="F14" s="1"/>
      <c r="G14" s="1">
        <f t="shared" ref="G14:G19" si="8">C14*SIN(E14)</f>
        <v>28.284271247461898</v>
      </c>
      <c r="H14" s="35">
        <f t="shared" si="3"/>
        <v>45</v>
      </c>
      <c r="J14" s="57">
        <v>3</v>
      </c>
      <c r="K14" s="58">
        <f t="shared" si="4"/>
        <v>0.1537053690482395</v>
      </c>
      <c r="L14" s="58">
        <f t="shared" si="5"/>
        <v>-37.746002053999959</v>
      </c>
      <c r="M14" s="58">
        <f t="shared" si="6"/>
        <v>146.5558502160068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40</v>
      </c>
      <c r="D15" s="1">
        <f>PI()/6</f>
        <v>0.52359877559829882</v>
      </c>
      <c r="E15" s="1">
        <f>D15-RADIANS(R2)</f>
        <v>0.26179938779914941</v>
      </c>
      <c r="F15" s="1"/>
      <c r="G15" s="1">
        <f t="shared" si="8"/>
        <v>10.35276180410083</v>
      </c>
      <c r="H15" s="35">
        <f t="shared" si="3"/>
        <v>14.999999999999998</v>
      </c>
      <c r="J15" s="57">
        <v>4</v>
      </c>
      <c r="K15" s="58">
        <f t="shared" si="4"/>
        <v>-20.237254810486061</v>
      </c>
      <c r="L15" s="58">
        <f t="shared" si="5"/>
        <v>-37.746002053999959</v>
      </c>
      <c r="M15" s="58">
        <f t="shared" si="6"/>
        <v>142.96037377380298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0.25">
      <c r="A16" s="34"/>
      <c r="B16" s="1" t="s">
        <v>29</v>
      </c>
      <c r="C16" s="1">
        <f t="shared" si="7"/>
        <v>40</v>
      </c>
      <c r="D16" s="1">
        <f>-PI()/2</f>
        <v>-1.5707963267948966</v>
      </c>
      <c r="E16" s="1">
        <f>D16+RADIANS(R2)</f>
        <v>-1.3089969389957472</v>
      </c>
      <c r="F16" s="1"/>
      <c r="G16" s="1">
        <f t="shared" si="8"/>
        <v>-38.637033051562732</v>
      </c>
      <c r="H16" s="35">
        <f t="shared" si="3"/>
        <v>-75</v>
      </c>
      <c r="J16" s="57">
        <v>5</v>
      </c>
      <c r="K16" s="58">
        <f t="shared" si="4"/>
        <v>-45.502957815024999</v>
      </c>
      <c r="L16" s="58">
        <f t="shared" si="5"/>
        <v>8.8460615754416629</v>
      </c>
      <c r="M16" s="58">
        <f t="shared" si="6"/>
        <v>123.14017300658972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40</v>
      </c>
      <c r="D17" s="1">
        <f>-PI()/2</f>
        <v>-1.5707963267948966</v>
      </c>
      <c r="E17" s="1">
        <f>D17+RADIANS(R2)</f>
        <v>-1.3089969389957472</v>
      </c>
      <c r="F17" s="1"/>
      <c r="G17" s="1">
        <f t="shared" si="8"/>
        <v>-38.637033051562732</v>
      </c>
      <c r="H17" s="35">
        <f t="shared" si="3"/>
        <v>-75</v>
      </c>
      <c r="J17" s="57">
        <v>6</v>
      </c>
      <c r="K17" s="58">
        <f t="shared" si="4"/>
        <v>-34.359886779624759</v>
      </c>
      <c r="L17" s="58">
        <f t="shared" si="5"/>
        <v>25.899940478558289</v>
      </c>
      <c r="M17" s="58">
        <f t="shared" si="6"/>
        <v>119.48095245988566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40</v>
      </c>
      <c r="D18" s="1">
        <f>PI()/6</f>
        <v>0.52359877559829882</v>
      </c>
      <c r="E18" s="1">
        <f>D18-RADIANS(R2)</f>
        <v>0.26179938779914941</v>
      </c>
      <c r="F18" s="1"/>
      <c r="G18" s="1">
        <f t="shared" si="8"/>
        <v>10.35276180410083</v>
      </c>
      <c r="H18" s="35">
        <f t="shared" si="3"/>
        <v>14.999999999999998</v>
      </c>
      <c r="J18" s="57"/>
      <c r="K18" s="58">
        <f>K12</f>
        <v>21.349252445976756</v>
      </c>
      <c r="L18" s="58">
        <f>L12</f>
        <v>25.899940478558289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.5" thickBot="1">
      <c r="A19" s="36"/>
      <c r="B19" s="37" t="s">
        <v>32</v>
      </c>
      <c r="C19" s="37">
        <f t="shared" si="7"/>
        <v>40</v>
      </c>
      <c r="D19" s="37">
        <f>PI()/6</f>
        <v>0.52359877559829882</v>
      </c>
      <c r="E19" s="37">
        <f>D19+RADIANS(R2)</f>
        <v>0.78539816339744828</v>
      </c>
      <c r="F19" s="37"/>
      <c r="G19" s="37">
        <f t="shared" si="8"/>
        <v>28.284271247461898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.5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32.273858572351699</v>
      </c>
      <c r="L22" s="58">
        <f t="shared" si="9"/>
        <v>19.095192199499461</v>
      </c>
      <c r="M22" s="59">
        <f>M3-M12</f>
        <v>-129.30397677740348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.5" thickBot="1">
      <c r="J23" s="57">
        <v>2</v>
      </c>
      <c r="K23" s="58">
        <f t="shared" si="9"/>
        <v>35.181341864902762</v>
      </c>
      <c r="L23" s="58">
        <f t="shared" si="9"/>
        <v>15.095348457355144</v>
      </c>
      <c r="M23" s="59">
        <f>M4-M13</f>
        <v>-136.55867376631136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.5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12.001667067636889</v>
      </c>
      <c r="L24" s="58">
        <f t="shared" si="9"/>
        <v>-31.190540656854608</v>
      </c>
      <c r="M24" s="59">
        <f>M5-M14</f>
        <v>-146.5558502160068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8.0818823738009318</v>
      </c>
      <c r="L25" s="58">
        <f t="shared" si="9"/>
        <v>-31.190540656854608</v>
      </c>
      <c r="M25" s="58">
        <f t="shared" si="9"/>
        <v>-142.96037377380298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-20.275525639988587</v>
      </c>
      <c r="L26" s="58">
        <f t="shared" si="9"/>
        <v>15.095348457355144</v>
      </c>
      <c r="M26" s="58">
        <f t="shared" si="9"/>
        <v>-123.14017300658972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-19.2632242387037</v>
      </c>
      <c r="L27" s="58">
        <f t="shared" si="9"/>
        <v>19.095192199499461</v>
      </c>
      <c r="M27" s="58">
        <f t="shared" si="9"/>
        <v>-119.48095245988566</v>
      </c>
      <c r="N27" s="60"/>
    </row>
    <row r="28" spans="1:23" ht="13.5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.5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  <c r="L29" s="53">
        <f>SQRT(K27^2+L27^2+M27^2)</f>
        <v>122.52100299102952</v>
      </c>
    </row>
    <row r="30" spans="1:23" ht="13.5" thickBot="1">
      <c r="A30" s="34" t="s">
        <v>18</v>
      </c>
      <c r="B30" s="1" t="s">
        <v>11</v>
      </c>
      <c r="C30" s="1">
        <f>$R$6</f>
        <v>70</v>
      </c>
      <c r="D30" s="1">
        <f>PI()/6</f>
        <v>0.52359877559829882</v>
      </c>
      <c r="E30" s="1">
        <f>D30+RADIANS(R4)</f>
        <v>0.69813170079773179</v>
      </c>
      <c r="F30" s="1"/>
      <c r="G30" s="1">
        <f t="shared" ref="G30:G35" si="10">C30*COS(E30)</f>
        <v>53.623111018328458</v>
      </c>
      <c r="H30" s="35">
        <f>DEGREES(E30)</f>
        <v>40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70</v>
      </c>
      <c r="D31" s="1">
        <f>PI()/6</f>
        <v>0.52359877559829882</v>
      </c>
      <c r="E31" s="1">
        <f>D31-RADIANS(R4)</f>
        <v>0.34906585039886584</v>
      </c>
      <c r="F31" s="1"/>
      <c r="G31" s="1">
        <f t="shared" si="10"/>
        <v>65.778483455013586</v>
      </c>
      <c r="H31" s="35">
        <f t="shared" ref="H31:H41" si="11">DEGREES(E31)</f>
        <v>19.999999999999996</v>
      </c>
      <c r="J31" s="57">
        <v>1</v>
      </c>
      <c r="K31" s="58">
        <f t="shared" ref="K31:K36" si="12">SQRT(K22^2+L22^2+M22^2)</f>
        <v>134.63189340841672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70</v>
      </c>
      <c r="D32" s="1">
        <f>-PI()/2</f>
        <v>-1.5707963267948966</v>
      </c>
      <c r="E32" s="1">
        <f>D32+RADIANS(R4)</f>
        <v>-1.3962634015954636</v>
      </c>
      <c r="F32" s="1"/>
      <c r="G32" s="1">
        <f t="shared" si="10"/>
        <v>12.155372436685129</v>
      </c>
      <c r="H32" s="35">
        <f t="shared" si="11"/>
        <v>-80</v>
      </c>
      <c r="J32" s="57">
        <v>2</v>
      </c>
      <c r="K32" s="58">
        <f t="shared" si="12"/>
        <v>141.82336810722691</v>
      </c>
      <c r="L32" s="58"/>
      <c r="M32" s="58"/>
      <c r="N32" s="60"/>
      <c r="R32" s="34">
        <v>22</v>
      </c>
      <c r="S32" s="1">
        <v>29</v>
      </c>
      <c r="T32" s="1">
        <v>18</v>
      </c>
      <c r="U32" s="1">
        <v>12</v>
      </c>
      <c r="V32" s="1">
        <v>20</v>
      </c>
      <c r="W32" s="35">
        <v>30</v>
      </c>
    </row>
    <row r="33" spans="1:23">
      <c r="A33" s="34"/>
      <c r="B33" s="1" t="s">
        <v>14</v>
      </c>
      <c r="C33" s="1">
        <f>$R$6*-1</f>
        <v>-70</v>
      </c>
      <c r="D33" s="1">
        <f>-PI()/2</f>
        <v>-1.5707963267948966</v>
      </c>
      <c r="E33" s="1">
        <f>D33+RADIANS(R4)</f>
        <v>-1.3962634015954636</v>
      </c>
      <c r="F33" s="1"/>
      <c r="G33" s="1">
        <f t="shared" si="10"/>
        <v>-12.155372436685129</v>
      </c>
      <c r="H33" s="35">
        <f t="shared" si="11"/>
        <v>-80</v>
      </c>
      <c r="J33" s="57">
        <v>3</v>
      </c>
      <c r="K33" s="58">
        <f t="shared" si="12"/>
        <v>150.31801978274569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-70</v>
      </c>
      <c r="D34" s="1">
        <f>PI()/6</f>
        <v>0.52359877559829882</v>
      </c>
      <c r="E34" s="1">
        <f>D34-RADIANS(R4)</f>
        <v>0.34906585039886584</v>
      </c>
      <c r="F34" s="1"/>
      <c r="G34" s="1">
        <f t="shared" si="10"/>
        <v>-65.778483455013586</v>
      </c>
      <c r="H34" s="35">
        <f t="shared" si="11"/>
        <v>19.999999999999996</v>
      </c>
      <c r="J34" s="57">
        <v>4</v>
      </c>
      <c r="K34" s="58">
        <f t="shared" si="12"/>
        <v>146.54635825811678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-70</v>
      </c>
      <c r="D35" s="1">
        <f>PI()/6</f>
        <v>0.52359877559829882</v>
      </c>
      <c r="E35" s="1">
        <f>D35+RADIANS(R4)</f>
        <v>0.69813170079773179</v>
      </c>
      <c r="F35" s="1"/>
      <c r="G35" s="1">
        <f t="shared" si="10"/>
        <v>-53.623111018328458</v>
      </c>
      <c r="H35" s="35">
        <f t="shared" si="11"/>
        <v>40</v>
      </c>
      <c r="J35" s="57">
        <v>5</v>
      </c>
      <c r="K35" s="58">
        <f t="shared" si="12"/>
        <v>125.70787045018166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.5" thickBot="1">
      <c r="A36" s="34" t="s">
        <v>19</v>
      </c>
      <c r="B36" s="1" t="s">
        <v>33</v>
      </c>
      <c r="C36" s="1">
        <f t="shared" ref="C36:C41" si="13">$R$6</f>
        <v>70</v>
      </c>
      <c r="D36" s="1">
        <f>PI()/6</f>
        <v>0.52359877559829882</v>
      </c>
      <c r="E36" s="1">
        <f>D36+RADIANS(R4)</f>
        <v>0.69813170079773179</v>
      </c>
      <c r="F36" s="1"/>
      <c r="G36" s="1">
        <f t="shared" ref="G36:G41" si="14">C36*SIN(E36)</f>
        <v>44.99513267805775</v>
      </c>
      <c r="H36" s="35">
        <f t="shared" si="11"/>
        <v>40</v>
      </c>
      <c r="J36" s="61">
        <v>6</v>
      </c>
      <c r="K36" s="62">
        <f t="shared" si="12"/>
        <v>122.52100299102952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.5" thickBot="1">
      <c r="A37" s="34"/>
      <c r="B37" s="1" t="s">
        <v>34</v>
      </c>
      <c r="C37" s="1">
        <f t="shared" si="13"/>
        <v>70</v>
      </c>
      <c r="D37" s="1">
        <f>PI()/6</f>
        <v>0.52359877559829882</v>
      </c>
      <c r="E37" s="1">
        <f>D37-RADIANS(R4)</f>
        <v>0.34906585039886584</v>
      </c>
      <c r="F37" s="1"/>
      <c r="G37" s="1">
        <f t="shared" si="14"/>
        <v>23.941410032796806</v>
      </c>
      <c r="H37" s="35">
        <f t="shared" si="11"/>
        <v>19.999999999999996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70</v>
      </c>
      <c r="D38" s="1">
        <f>-PI()/2</f>
        <v>-1.5707963267948966</v>
      </c>
      <c r="E38" s="1">
        <f>D38+RADIANS(R4)</f>
        <v>-1.3962634015954636</v>
      </c>
      <c r="F38" s="1"/>
      <c r="G38" s="1">
        <f t="shared" si="14"/>
        <v>-68.936542710854567</v>
      </c>
      <c r="H38" s="35">
        <f t="shared" si="11"/>
        <v>-80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70</v>
      </c>
      <c r="D39" s="1">
        <f>-PI()/2</f>
        <v>-1.5707963267948966</v>
      </c>
      <c r="E39" s="1">
        <f>D39+RADIANS(R4)</f>
        <v>-1.3962634015954636</v>
      </c>
      <c r="F39" s="1"/>
      <c r="G39" s="1">
        <f t="shared" si="14"/>
        <v>-68.936542710854567</v>
      </c>
      <c r="H39" s="35">
        <f t="shared" si="11"/>
        <v>-80</v>
      </c>
      <c r="J39" s="57">
        <v>1</v>
      </c>
      <c r="K39" s="59">
        <f>$R$7*COS(-$N$50)*COS($R$3*PI()/180)+G30</f>
        <v>30.33664068541049</v>
      </c>
      <c r="L39" s="59">
        <f>$R$7*COS(-$N$50)*SIN($R$3*PI()/180)+G36</f>
        <v>44.99513267805775</v>
      </c>
      <c r="M39" s="59">
        <f>-$R$7*SIN(-$N$50)</f>
        <v>-9.0961694923814633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70</v>
      </c>
      <c r="D40" s="1">
        <f>PI()/6</f>
        <v>0.52359877559829882</v>
      </c>
      <c r="E40" s="1">
        <f>D40-RADIANS(R4)</f>
        <v>0.34906585039886584</v>
      </c>
      <c r="F40" s="1"/>
      <c r="G40" s="1">
        <f t="shared" si="14"/>
        <v>23.941410032796806</v>
      </c>
      <c r="H40" s="35">
        <f t="shared" si="11"/>
        <v>19.999999999999996</v>
      </c>
      <c r="J40" s="57">
        <v>2</v>
      </c>
      <c r="K40" s="59">
        <f>$R$7*COS(-$N$51)*COS($S$3*PI()/180)+G31</f>
        <v>53.299078393999423</v>
      </c>
      <c r="L40" s="59">
        <f>$R$7*COS(-$N$51)*SIN($S$3*PI()/180)+G37</f>
        <v>2.3264464188880858</v>
      </c>
      <c r="M40" s="59">
        <f>-$R$7*SIN(-$N$51)</f>
        <v>-1.4345024546985194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70</v>
      </c>
      <c r="D41" s="1">
        <f>PI()/6</f>
        <v>0.52359877559829882</v>
      </c>
      <c r="E41" s="1">
        <f>D41+RADIANS(R4)</f>
        <v>0.69813170079773179</v>
      </c>
      <c r="F41" s="1"/>
      <c r="G41" s="1">
        <f t="shared" si="14"/>
        <v>44.99513267805775</v>
      </c>
      <c r="H41" s="35">
        <f t="shared" si="11"/>
        <v>40</v>
      </c>
      <c r="J41" s="57">
        <v>3</v>
      </c>
      <c r="K41" s="59">
        <f>$R$7*COS(-$N$52)*COS($T$3*PI()/180)+G32</f>
        <v>23.81560976817758</v>
      </c>
      <c r="L41" s="59">
        <f>$R$7*COS(-$N$52)*SIN($T$3*PI()/180)+G38</f>
        <v>-48.740419224398302</v>
      </c>
      <c r="M41" s="59">
        <f>-$R$7*SIN(-$N$52)</f>
        <v>9.0086326095073623</v>
      </c>
      <c r="N41" s="60"/>
      <c r="R41" s="34"/>
      <c r="S41" s="1"/>
      <c r="T41" s="1"/>
      <c r="U41" s="1"/>
      <c r="V41" s="1"/>
      <c r="W41" s="35"/>
    </row>
    <row r="42" spans="1:23" ht="13.5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-24.541572764468434</v>
      </c>
      <c r="L42" s="59">
        <f>$R$7*COS(-$N$53)*SIN($U$3*PI()/180)+G39</f>
        <v>-47.483014430407593</v>
      </c>
      <c r="M42" s="59">
        <f>-$R$7*SIN(-$N$53)</f>
        <v>3.3657340596194505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-56.358338183862521</v>
      </c>
      <c r="L43" s="59">
        <f>$R$7*COS(-$N$54)*SIN($V$3*PI()/180)+G40</f>
        <v>7.6252398084834674</v>
      </c>
      <c r="M43" s="59">
        <f>-$R$7*SIN(-$N$54)</f>
        <v>-16.432998882785853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-37.579915957069161</v>
      </c>
      <c r="L44" s="59">
        <f>$R$7*COS(-$N$55)*SIN($W$3*PI()/180)+G41</f>
        <v>44.99513267805775</v>
      </c>
      <c r="M44" s="59">
        <f>-$R$7*SIN(-$N$55)</f>
        <v>-19.173311978538958</v>
      </c>
      <c r="N44" s="60"/>
      <c r="R44" s="34"/>
      <c r="S44" s="1"/>
      <c r="T44" s="1"/>
      <c r="U44" s="1"/>
      <c r="V44" s="1"/>
      <c r="W44" s="35"/>
    </row>
    <row r="45" spans="1:23" ht="13.5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.5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 t="shared" ref="K50:K55" si="15">K31^2-($R$8^2-$R$7^2)</f>
        <v>-849.25327726472096</v>
      </c>
      <c r="L50" s="64">
        <f t="shared" ref="L50:L55" si="16">2*$R$7*(M12-M3)</f>
        <v>6465.1988388701739</v>
      </c>
      <c r="M50" s="64">
        <f>2*$R$7*(COS(R3*PI()/180)*(K12-K3)+SIN(R3*PI()/180)*(L12-L3))</f>
        <v>1613.692928617585</v>
      </c>
      <c r="N50" s="64">
        <f t="shared" ref="N50:N55" si="17">ASIN(K50/(SQRT(L50^2+M50^2)))-ATAN(M50/L50)</f>
        <v>-0.37239442347346408</v>
      </c>
      <c r="O50" s="41">
        <f t="shared" ref="O50:O55" si="18">DEGREES(N50)</f>
        <v>-21.336628779237007</v>
      </c>
      <c r="R50" s="34"/>
      <c r="S50" s="1"/>
      <c r="T50" s="1"/>
      <c r="U50" s="1"/>
      <c r="V50" s="1"/>
      <c r="W50" s="35"/>
    </row>
    <row r="51" spans="10:23" ht="13.5" thickBot="1">
      <c r="J51" s="57">
        <v>2</v>
      </c>
      <c r="K51" s="64">
        <f t="shared" si="15"/>
        <v>1138.8677412779871</v>
      </c>
      <c r="L51" s="64">
        <f t="shared" si="16"/>
        <v>6827.9336883155684</v>
      </c>
      <c r="M51" s="64">
        <f>2*$R$7*(COS(S3*PI()/180)*(K13-K4)+SIN(S3*PI()/180)*(L13-L4))</f>
        <v>1533.1813087749583</v>
      </c>
      <c r="N51" s="64">
        <f t="shared" si="17"/>
        <v>-5.7411632027484394E-2</v>
      </c>
      <c r="O51" s="41">
        <f t="shared" si="18"/>
        <v>-3.2894442101329613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5"/>
        <v>3620.5070714059257</v>
      </c>
      <c r="L52" s="64">
        <f t="shared" si="16"/>
        <v>7327.7925108003401</v>
      </c>
      <c r="M52" s="64">
        <f>2*$R$7*(COS(T3*PI()/180)*(K14-K5)+SIN(T3*PI()/180)*(L14-L5))</f>
        <v>1050.5483516394509</v>
      </c>
      <c r="N52" s="64">
        <f t="shared" si="17"/>
        <v>0.36863803995809119</v>
      </c>
      <c r="O52" s="41">
        <f t="shared" si="18"/>
        <v>21.121403857573625</v>
      </c>
    </row>
    <row r="53" spans="10:23">
      <c r="J53" s="57">
        <v>4</v>
      </c>
      <c r="K53" s="64">
        <f t="shared" si="15"/>
        <v>2500.8351187163134</v>
      </c>
      <c r="L53" s="64">
        <f t="shared" si="16"/>
        <v>7148.0186886901492</v>
      </c>
      <c r="M53" s="64">
        <f>2*$R$7*(COS(U3*PI()/180)*(K15-K6)+SIN(U3*PI()/180)*(L15-L6))</f>
        <v>1552.6370876753965</v>
      </c>
      <c r="N53" s="64">
        <f t="shared" si="17"/>
        <v>0.13503941006105222</v>
      </c>
      <c r="O53" s="41">
        <f t="shared" si="18"/>
        <v>7.7371882644347583</v>
      </c>
    </row>
    <row r="54" spans="10:23">
      <c r="J54" s="57">
        <v>5</v>
      </c>
      <c r="K54" s="64">
        <f t="shared" si="15"/>
        <v>-3172.5313068803443</v>
      </c>
      <c r="L54" s="64">
        <f t="shared" si="16"/>
        <v>6157.008650329486</v>
      </c>
      <c r="M54" s="64">
        <f>2*$R$7*(COS(V3*PI()/180)*(K16-K7)+SIN(V3*PI()/180)*(L16-L7))</f>
        <v>1160.5359031521043</v>
      </c>
      <c r="N54" s="64">
        <f t="shared" si="17"/>
        <v>-0.71725695287852731</v>
      </c>
      <c r="O54" s="41">
        <f t="shared" si="18"/>
        <v>-41.095796226353379</v>
      </c>
    </row>
    <row r="55" spans="10:23" ht="13.5" thickBot="1">
      <c r="J55" s="61">
        <v>6</v>
      </c>
      <c r="K55" s="65">
        <f t="shared" si="15"/>
        <v>-3963.6038260721361</v>
      </c>
      <c r="L55" s="65">
        <f t="shared" si="16"/>
        <v>5974.0476229942833</v>
      </c>
      <c r="M55" s="65">
        <f>2*$R$7*(COS(W3*PI()/180)*(K17-K8)+SIN(W3*PI()/180)*(L17-L8))</f>
        <v>963.16121193518495</v>
      </c>
      <c r="N55" s="65">
        <f t="shared" si="17"/>
        <v>-0.87404730443404544</v>
      </c>
      <c r="O55" s="46">
        <f t="shared" si="18"/>
        <v>-50.079221638857007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control shapeId="1028" r:id="rId4" name="PE_X"/>
    <control shapeId="1030" r:id="rId5" name="ScrollBar2"/>
    <control shapeId="1031" r:id="rId6" name="ScrollBar3"/>
    <control shapeId="1032" r:id="rId7" name="ScrollBar4"/>
    <control shapeId="1033" r:id="rId8" name="ScrollBar5"/>
    <control shapeId="1034" r:id="rId9" name="ScrollBar6"/>
  </controls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3D View</vt:lpstr>
      <vt:lpstr>DATA</vt:lpstr>
      <vt:lpstr>Sheet1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DATA!Print_Area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jp0dwt</cp:lastModifiedBy>
  <cp:lastPrinted>2014-10-10T08:51:31Z</cp:lastPrinted>
  <dcterms:created xsi:type="dcterms:W3CDTF">2014-04-22T06:12:13Z</dcterms:created>
  <dcterms:modified xsi:type="dcterms:W3CDTF">2016-06-10T01:31:59Z</dcterms:modified>
</cp:coreProperties>
</file>